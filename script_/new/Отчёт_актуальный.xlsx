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щие выводы" sheetId="1" state="visible" r:id="rId3"/>
    <sheet name="Валидация" sheetId="2" state="visible" r:id="rId4"/>
    <sheet name="Рейтинг" sheetId="3" state="visible" r:id="rId5"/>
    <sheet name="Цели" sheetId="4" state="visible" r:id="rId6"/>
    <sheet name="Эффективность сервисов" sheetId="5" state="visible" r:id="rId7"/>
    <sheet name="Качество" sheetId="6" state="visible" r:id="rId8"/>
    <sheet name="Утилизация" sheetId="7" state="visible" r:id="rId9"/>
    <sheet name="По API Key" sheetId="8" state="visible" r:id="rId10"/>
    <sheet name="Топ-устройства" sheetId="9" state="visible" r:id="rId11"/>
    <sheet name="Рекомендации" sheetId="10" state="visible" r:id="rId12"/>
    <sheet name="Модели" sheetId="11" state="visible" r:id="rId13"/>
    <sheet name="👤 Болонкин" sheetId="12" state="visible" r:id="rId14"/>
    <sheet name="👤 Глухов" sheetId="13" state="visible" r:id="rId15"/>
    <sheet name="👤 Армен" sheetId="14" state="visible" r:id="rId16"/>
    <sheet name="👤 Некит" sheetId="15" state="visible" r:id="rId17"/>
    <sheet name="👤 Марат" sheetId="16" state="visible" r:id="rId18"/>
    <sheet name="👤 Питер" sheetId="17" state="visible" r:id="rId19"/>
    <sheet name="👤 Насыров" sheetId="18" state="visible" r:id="rId20"/>
    <sheet name="👤 Бенз" sheetId="19" state="visible" r:id="rId21"/>
    <sheet name="👤 Серега" sheetId="20" state="visible" r:id="rId22"/>
    <sheet name="👤 Неизвестно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<sst xmlns="http://schemas.openxmlformats.org/spreadsheetml/2006/main" count="5378" uniqueCount="1480">
  <si>
    <t xml:space="preserve">Краткое резюме</t>
  </si>
  <si>
    <t xml:space="preserve">▌ СТАТУС ОТЧЁТА</t>
  </si>
  <si>
    <t xml:space="preserve">Уровень готовности</t>
  </si>
  <si>
    <t xml:space="preserve">Needs revision</t>
  </si>
  <si>
    <t xml:space="preserve">Резюме</t>
  </si>
  <si>
    <t xml:space="preserve">Обнаружены критические ошибки (1 шт). Исправить перед презентацией.</t>
  </si>
  <si>
    <t xml:space="preserve">Проверок пройдено</t>
  </si>
  <si>
    <t xml:space="preserve">13 PASS · 4 WARN · 1 FAIL</t>
  </si>
  <si>
    <t xml:space="preserve">Период данных</t>
  </si>
  <si>
    <t xml:space="preserve">18.05.2026 — 01.06.2026</t>
  </si>
  <si>
    <t xml:space="preserve">Общий доход</t>
  </si>
  <si>
    <t xml:space="preserve">241 125.80 ₽</t>
  </si>
  <si>
    <t xml:space="preserve">Сотрудников в отчёте</t>
  </si>
  <si>
    <t xml:space="preserve">10</t>
  </si>
  <si>
    <t xml:space="preserve">Устройств всего</t>
  </si>
  <si>
    <t xml:space="preserve">1 071</t>
  </si>
  <si>
    <t xml:space="preserve">Средний доход на устройство</t>
  </si>
  <si>
    <t xml:space="preserve">225.14 ₽</t>
  </si>
  <si>
    <t xml:space="preserve">Активных за последние 24ч</t>
  </si>
  <si>
    <t xml:space="preserve">192 (18% парка)</t>
  </si>
  <si>
    <t xml:space="preserve">"Мёртвых" устройств (нет дохода и простой &gt;2 дн)</t>
  </si>
  <si>
    <t xml:space="preserve">79 (7% парка)</t>
  </si>
  <si>
    <t xml:space="preserve">▌ ЦЕЛЬ: 50 ₽/устр/сутки</t>
  </si>
  <si>
    <t xml:space="preserve">Целевой показатель</t>
  </si>
  <si>
    <t xml:space="preserve">50 ₽ на устройство в сутки</t>
  </si>
  <si>
    <t xml:space="preserve">Факт по компании</t>
  </si>
  <si>
    <t xml:space="preserve">18.0 ₽/устр/сутки</t>
  </si>
  <si>
    <t xml:space="preserve">Отклонение от цели</t>
  </si>
  <si>
    <t xml:space="preserve">-32.0 ₽/устр/сутки</t>
  </si>
  <si>
    <t xml:space="preserve">План за период</t>
  </si>
  <si>
    <t xml:space="preserve">677 367.85 ₽</t>
  </si>
  <si>
    <t xml:space="preserve">Факт за период</t>
  </si>
  <si>
    <t xml:space="preserve">Выполнение плана</t>
  </si>
  <si>
    <t xml:space="preserve">35.6%</t>
  </si>
  <si>
    <t xml:space="preserve">Перевыполняют план</t>
  </si>
  <si>
    <t xml:space="preserve">0 из 10 сотрудников</t>
  </si>
  <si>
    <t xml:space="preserve">Ниже 50% плана</t>
  </si>
  <si>
    <t xml:space="preserve">10 из 10 сотрудников</t>
  </si>
  <si>
    <t xml:space="preserve">▌ СТРУКТУРА ДОХОДА</t>
  </si>
  <si>
    <t xml:space="preserve">WhatsApp рассылки</t>
  </si>
  <si>
    <t xml:space="preserve">131 503.60 ₽ (54.5%)</t>
  </si>
  <si>
    <t xml:space="preserve">Regular (SMS-коды)</t>
  </si>
  <si>
    <t xml:space="preserve">75 375.80 ₽ (31.3%)</t>
  </si>
  <si>
    <t xml:space="preserve">Kakao</t>
  </si>
  <si>
    <t xml:space="preserve">30 905.40 ₽ (12.8%)</t>
  </si>
  <si>
    <t xml:space="preserve">Click</t>
  </si>
  <si>
    <t xml:space="preserve">2 377.30 ₽ (1.0%)</t>
  </si>
  <si>
    <t xml:space="preserve">Business</t>
  </si>
  <si>
    <t xml:space="preserve">7.00 ₽ (0.0%)</t>
  </si>
  <si>
    <t xml:space="preserve">Viber</t>
  </si>
  <si>
    <t xml:space="preserve">0.00 ₽ (0.0%)</t>
  </si>
  <si>
    <t xml:space="preserve">▌ ТОП-3 ПО ВЫПОЛНЕНИЮ ЦЕЛИ</t>
  </si>
  <si>
    <t xml:space="preserve">Болонкин</t>
  </si>
  <si>
    <t xml:space="preserve">25 ₽/устр/сутки (50% плана, 142 устр)</t>
  </si>
  <si>
    <t xml:space="preserve">Некит</t>
  </si>
  <si>
    <t xml:space="preserve">25 ₽/устр/сутки (50% плана, 120 устр)</t>
  </si>
  <si>
    <t xml:space="preserve">Глухов</t>
  </si>
  <si>
    <t xml:space="preserve">24 ₽/устр/сутки (48% плана, 155 устр)</t>
  </si>
  <si>
    <t xml:space="preserve">▌ АНТИ-ТОП ПО ВЫПОЛНЕНИЮ ЦЕЛИ</t>
  </si>
  <si>
    <t xml:space="preserve">Неизвестно</t>
  </si>
  <si>
    <t xml:space="preserve">1 ₽/устр/сутки (2% плана, 27 устр)</t>
  </si>
  <si>
    <t xml:space="preserve">Серега</t>
  </si>
  <si>
    <t xml:space="preserve">7 ₽/устр/сутки (14% плана, 53 устр)</t>
  </si>
  <si>
    <t xml:space="preserve">Питер</t>
  </si>
  <si>
    <t xml:space="preserve">10 ₽/устр/сутки (21% плана, 196 устр)</t>
  </si>
  <si>
    <t xml:space="preserve">▌ ВАЖНЫЕ ОГОВОРКИ ДЛЯ ПРЕЗЕНТАЦИИ</t>
  </si>
  <si>
    <t xml:space="preserve">•</t>
  </si>
  <si>
    <t xml:space="preserve">[HIGH] Проценты в [0;100]: Проценты &gt; 100 в: Click_bad_pct (1 сотр.) — ошибка деления</t>
  </si>
  <si>
    <t xml:space="preserve">[HIGH] Несматченные API Key: 2 API Key из данных не найдены в конфиге: AGALICH, mobile. Они попали в группу "Неизвестно" — поправь конфиг.</t>
  </si>
  <si>
    <t xml:space="preserve">[HIGH] Выполнение цели (общее): Существенный недобор: 35.6% от плана. 10 сотрудник(ов) ниже 50% плана. Цель 50 ₽/устр/сутки требует пересмотра либо тактики, либо самой цели.</t>
  </si>
  <si>
    <t xml:space="preserve">[MED] Сотрудники без данных: 1 сотрудников из конфига нет в данных: Ильяс. Либо они не работают, либо их API Key переименованы.</t>
  </si>
  <si>
    <t xml:space="preserve">[MED] Survivorship bias: В выгрузке только активно работающие устройства. Если у сотрудника железо физически отключено (а не показывает 0 ₽), оно вообще не попадёт в анализ — реальный парк может быть больше.</t>
  </si>
  <si>
    <t xml:space="preserve">Проверки качества отчёта · Needs revision</t>
  </si>
  <si>
    <t xml:space="preserve">Категория</t>
  </si>
  <si>
    <t xml:space="preserve">Проверка</t>
  </si>
  <si>
    <t xml:space="preserve">Статус</t>
  </si>
  <si>
    <t xml:space="preserve">Важность</t>
  </si>
  <si>
    <t xml:space="preserve">Подробности</t>
  </si>
  <si>
    <t xml:space="preserve">Расчёты</t>
  </si>
  <si>
    <t xml:space="preserve">Проценты в [0;100]</t>
  </si>
  <si>
    <t xml:space="preserve">FAIL</t>
  </si>
  <si>
    <t xml:space="preserve">HIGH</t>
  </si>
  <si>
    <t xml:space="preserve">Проценты &gt; 100 в: Click_bad_pct (1 сотр.) — ошибка деления</t>
  </si>
  <si>
    <t xml:space="preserve">Качество данных</t>
  </si>
  <si>
    <t xml:space="preserve">Несматченные API Key</t>
  </si>
  <si>
    <t xml:space="preserve">WARN</t>
  </si>
  <si>
    <t xml:space="preserve">2 API Key из данных не найдены в конфиге: AGALICH, mobile. Они попали в группу "Неизвестно" — поправь конфиг.</t>
  </si>
  <si>
    <t xml:space="preserve">Цели</t>
  </si>
  <si>
    <t xml:space="preserve">Выполнение цели (общее)</t>
  </si>
  <si>
    <t xml:space="preserve">Существенный недобор: 35.6% от плана. 10 сотрудник(ов) ниже 50% плана. Цель 50 ₽/устр/сутки требует пересмотра либо тактики, либо самой цели.</t>
  </si>
  <si>
    <t xml:space="preserve">Сотрудники без данных</t>
  </si>
  <si>
    <t xml:space="preserve">MED</t>
  </si>
  <si>
    <t xml:space="preserve">1 сотрудников из конфига нет в данных: Ильяс. Либо они не работают, либо их API Key переименованы.</t>
  </si>
  <si>
    <t xml:space="preserve">Аналитические ловушки</t>
  </si>
  <si>
    <t xml:space="preserve">Survivorship bias</t>
  </si>
  <si>
    <t xml:space="preserve">В выгрузке только активно работающие устройства. Если у сотрудника железо физически отключено (а не показывает 0 ₽), оно вообще не попадёт в анализ — реальный парк может быть больше.</t>
  </si>
  <si>
    <t xml:space="preserve">Сумма каналов = Total</t>
  </si>
  <si>
    <t xml:space="preserve">PASS</t>
  </si>
  <si>
    <t xml:space="preserve">Сумма каналов 240,169.10 = Total 241,125.80 (расхождение 0.40%)</t>
  </si>
  <si>
    <t xml:space="preserve">Режим загрузки</t>
  </si>
  <si>
    <t xml:space="preserve">LOW</t>
  </si>
  <si>
    <t xml:space="preserve">Используется конфиг-маппинг API Key → сотрудник (10 сотрудников в конфиге)</t>
  </si>
  <si>
    <t xml:space="preserve">Источники</t>
  </si>
  <si>
    <t xml:space="preserve">Загружено 10 файл(ов)</t>
  </si>
  <si>
    <t xml:space="preserve">Свежесть данных</t>
  </si>
  <si>
    <t xml:space="preserve">Самая свежая запись 0 дн. назад</t>
  </si>
  <si>
    <t xml:space="preserve">Дубликаты строк</t>
  </si>
  <si>
    <t xml:space="preserve">Дубликатов не найдено</t>
  </si>
  <si>
    <t xml:space="preserve">Итоговые строки</t>
  </si>
  <si>
    <t xml:space="preserve">Все строки без API Key исключены (нет двойного счёта)</t>
  </si>
  <si>
    <t xml:space="preserve">Отрицательные доходы</t>
  </si>
  <si>
    <t xml:space="preserve">Все доходы ≥ 0</t>
  </si>
  <si>
    <t xml:space="preserve">Знаменатели</t>
  </si>
  <si>
    <t xml:space="preserve">Невозможных соотношений не обнаружено</t>
  </si>
  <si>
    <t xml:space="preserve">Разумность</t>
  </si>
  <si>
    <t xml:space="preserve">Порядок величины</t>
  </si>
  <si>
    <t xml:space="preserve">Общий доход 241,125.80 ₽ — в разумном диапазоне</t>
  </si>
  <si>
    <t xml:space="preserve">Устройства с 0 ₽</t>
  </si>
  <si>
    <t xml:space="preserve">105 устр. (9.9%) с 0 ₽ — в норме</t>
  </si>
  <si>
    <t xml:space="preserve">Длина периода</t>
  </si>
  <si>
    <t xml:space="preserve">Период 15 дн — достаточно для сравнений</t>
  </si>
  <si>
    <t xml:space="preserve">Сопоставимость периодов</t>
  </si>
  <si>
    <t xml:space="preserve">Периоды наблюдения у всех сотрудников сопоставимы</t>
  </si>
  <si>
    <t xml:space="preserve">Average of averages</t>
  </si>
  <si>
    <t xml:space="preserve">Средний доход/устр посчитан корректно: total/total_dev = 225 ₽ (не путать с mean(per_emp) = 200 ₽).</t>
  </si>
  <si>
    <t xml:space="preserve">ИТОГО</t>
  </si>
  <si>
    <t xml:space="preserve">13 PASS</t>
  </si>
  <si>
    <t xml:space="preserve">4 WARN</t>
  </si>
  <si>
    <t xml:space="preserve">1 FAIL</t>
  </si>
  <si>
    <t xml:space="preserve">Рейтинг сотрудников по доходу</t>
  </si>
  <si>
    <t xml:space="preserve">Место</t>
  </si>
  <si>
    <t xml:space="preserve">Сотрудник</t>
  </si>
  <si>
    <t xml:space="preserve">Доход, ₽</t>
  </si>
  <si>
    <t xml:space="preserve">Доля, %</t>
  </si>
  <si>
    <t xml:space="preserve">Устройств</t>
  </si>
  <si>
    <t xml:space="preserve">Доход/устр, ₽</t>
  </si>
  <si>
    <t xml:space="preserve">WhatsApp, ₽</t>
  </si>
  <si>
    <t xml:space="preserve">Regular, ₽</t>
  </si>
  <si>
    <t xml:space="preserve">Kakao, ₽</t>
  </si>
  <si>
    <t xml:space="preserve">Click, ₽</t>
  </si>
  <si>
    <t xml:space="preserve">Кодов</t>
  </si>
  <si>
    <t xml:space="preserve">Армен</t>
  </si>
  <si>
    <t xml:space="preserve">Марат</t>
  </si>
  <si>
    <t xml:space="preserve">Насыров</t>
  </si>
  <si>
    <t xml:space="preserve">Бенз</t>
  </si>
  <si>
    <t xml:space="preserve">Достижение цели · 50 ₽ на устройство в сутки</t>
  </si>
  <si>
    <t xml:space="preserve">Период, сут</t>
  </si>
  <si>
    <t xml:space="preserve">Цель, ₽/устр/сутки</t>
  </si>
  <si>
    <t xml:space="preserve">Факт, ₽/устр/сутки</t>
  </si>
  <si>
    <t xml:space="preserve">Отклонение, ₽/сутки</t>
  </si>
  <si>
    <t xml:space="preserve">План за период, ₽</t>
  </si>
  <si>
    <t xml:space="preserve">Факт за период, ₽</t>
  </si>
  <si>
    <t xml:space="preserve">Отклонение за период, ₽</t>
  </si>
  <si>
    <t xml:space="preserve">Выполнение, %</t>
  </si>
  <si>
    <t xml:space="preserve">ИТОГО по компании</t>
  </si>
  <si>
    <t xml:space="preserve">Как считается:</t>
  </si>
  <si>
    <t xml:space="preserve">• Цель — 50 ₽ на каждое устройство в сутки</t>
  </si>
  <si>
    <t xml:space="preserve">• План за период = Цель × Устройств × Период в сутках</t>
  </si>
  <si>
    <t xml:space="preserve">• Период наблюдения у каждого сотрудника свой (от max до min Timestamp)</t>
  </si>
  <si>
    <t xml:space="preserve">• Зелёный = ≥100% плана; Жёлтый = 50-99%; Красный = &lt;50%</t>
  </si>
  <si>
    <t xml:space="preserve">Эффективность по сервисам (вся компания)</t>
  </si>
  <si>
    <t xml:space="preserve">Сервис</t>
  </si>
  <si>
    <t xml:space="preserve">Старты</t>
  </si>
  <si>
    <t xml:space="preserve">Коды</t>
  </si>
  <si>
    <t xml:space="preserve">Аккаунты</t>
  </si>
  <si>
    <t xml:space="preserve">Баны акк.</t>
  </si>
  <si>
    <t xml:space="preserve">Отправлено</t>
  </si>
  <si>
    <t xml:space="preserve">Доставлено</t>
  </si>
  <si>
    <t xml:space="preserve">Конверсия кода, %</t>
  </si>
  <si>
    <t xml:space="preserve">Брак, %</t>
  </si>
  <si>
    <t xml:space="preserve">Регистр. от кодов, %</t>
  </si>
  <si>
    <t xml:space="preserve">Бан аккаунтов, %</t>
  </si>
  <si>
    <t xml:space="preserve">Доставка, %</t>
  </si>
  <si>
    <t xml:space="preserve">SMS на аккаунт</t>
  </si>
  <si>
    <t xml:space="preserve">Regular</t>
  </si>
  <si>
    <t xml:space="preserve">Wa Load</t>
  </si>
  <si>
    <t xml:space="preserve">Kakaotalk</t>
  </si>
  <si>
    <t xml:space="preserve">Bip</t>
  </si>
  <si>
    <t xml:space="preserve">Kakao Spam</t>
  </si>
  <si>
    <t xml:space="preserve">Как читать метрики:</t>
  </si>
  <si>
    <t xml:space="preserve">Конверсия кода</t>
  </si>
  <si>
    <t xml:space="preserve">Коды / Старты — какая доля попыток дала код</t>
  </si>
  <si>
    <t xml:space="preserve">Брак</t>
  </si>
  <si>
    <t xml:space="preserve">Bad / Старты — доля бракованных попыток</t>
  </si>
  <si>
    <t xml:space="preserve">Регистр. от кодов</t>
  </si>
  <si>
    <t xml:space="preserve">Аккаунты / Коды — сколько кодов превратилось в аккаунты</t>
  </si>
  <si>
    <t xml:space="preserve">Бан аккаунтов</t>
  </si>
  <si>
    <t xml:space="preserve">Баны / Аккаунты — доля сгоревших аккаунтов</t>
  </si>
  <si>
    <t xml:space="preserve">Доставка</t>
  </si>
  <si>
    <t xml:space="preserve">Доставлено / Отправлено — доходимость рассылки</t>
  </si>
  <si>
    <t xml:space="preserve">Отправлено / Аккаунты — сколько сообщений шлёт один аккаунт</t>
  </si>
  <si>
    <t xml:space="preserve">Качество работы по сотрудникам</t>
  </si>
  <si>
    <t xml:space="preserve">Click брак, %</t>
  </si>
  <si>
    <t xml:space="preserve">WA бан, %</t>
  </si>
  <si>
    <t xml:space="preserve">WA доставка, %</t>
  </si>
  <si>
    <t xml:space="preserve">Reg доставка, %</t>
  </si>
  <si>
    <t xml:space="preserve">Reg код/старт, %</t>
  </si>
  <si>
    <t xml:space="preserve">Kakao код/старт, %</t>
  </si>
  <si>
    <t xml:space="preserve">WA акк</t>
  </si>
  <si>
    <t xml:space="preserve">WA банов</t>
  </si>
  <si>
    <t xml:space="preserve">Reg кодов</t>
  </si>
  <si>
    <t xml:space="preserve">Kakao кодов</t>
  </si>
  <si>
    <t xml:space="preserve">Утилизация устройств</t>
  </si>
  <si>
    <t xml:space="preserve">Активных 24ч</t>
  </si>
  <si>
    <t xml:space="preserve">% активных</t>
  </si>
  <si>
    <t xml:space="preserve">Нулевых</t>
  </si>
  <si>
    <t xml:space="preserve">% нулевых</t>
  </si>
  <si>
    <t xml:space="preserve">Мёртвых</t>
  </si>
  <si>
    <t xml:space="preserve">% мёртвых</t>
  </si>
  <si>
    <t xml:space="preserve">Эффективность по API Key (платформам)</t>
  </si>
  <si>
    <t xml:space="preserve">API Key</t>
  </si>
  <si>
    <t xml:space="preserve">Доля сотрудника</t>
  </si>
  <si>
    <t xml:space="preserve">VIBPC1</t>
  </si>
  <si>
    <t xml:space="preserve">VINDIESEL</t>
  </si>
  <si>
    <t xml:space="preserve">VIBPC2</t>
  </si>
  <si>
    <t xml:space="preserve">HANOI</t>
  </si>
  <si>
    <t xml:space="preserve">VIBPC3</t>
  </si>
  <si>
    <t xml:space="preserve">NHATRANG</t>
  </si>
  <si>
    <t xml:space="preserve">KUSKO</t>
  </si>
  <si>
    <t xml:space="preserve">OBIVAN</t>
  </si>
  <si>
    <t xml:space="preserve">APRIL</t>
  </si>
  <si>
    <t xml:space="preserve">BANDIT73</t>
  </si>
  <si>
    <t xml:space="preserve">HOSHIMIN</t>
  </si>
  <si>
    <t xml:space="preserve">MEGATRON</t>
  </si>
  <si>
    <t xml:space="preserve">RAGNAR</t>
  </si>
  <si>
    <t xml:space="preserve">AZA</t>
  </si>
  <si>
    <t xml:space="preserve">LIMA</t>
  </si>
  <si>
    <t xml:space="preserve">MEGAN</t>
  </si>
  <si>
    <t xml:space="preserve">DALAT</t>
  </si>
  <si>
    <t xml:space="preserve">ELIZAJANE</t>
  </si>
  <si>
    <t xml:space="preserve">KLAVACOCA</t>
  </si>
  <si>
    <t xml:space="preserve">DIEGO</t>
  </si>
  <si>
    <t xml:space="preserve">TOMYAM</t>
  </si>
  <si>
    <t xml:space="preserve">PUMA</t>
  </si>
  <si>
    <t xml:space="preserve">HOMELANDER</t>
  </si>
  <si>
    <t xml:space="preserve">SASHAGREY</t>
  </si>
  <si>
    <t xml:space="preserve">OTEC</t>
  </si>
  <si>
    <t xml:space="preserve">ADIDAS</t>
  </si>
  <si>
    <t xml:space="preserve">STARLIGHT</t>
  </si>
  <si>
    <t xml:space="preserve">KZ</t>
  </si>
  <si>
    <t xml:space="preserve">HANSOLO</t>
  </si>
  <si>
    <t xml:space="preserve">DESKTOP-LV446TA</t>
  </si>
  <si>
    <t xml:space="preserve">RENTGEN</t>
  </si>
  <si>
    <t xml:space="preserve">mobile</t>
  </si>
  <si>
    <t xml:space="preserve">AGALICH</t>
  </si>
  <si>
    <t xml:space="preserve">DANANG</t>
  </si>
  <si>
    <t xml:space="preserve">TLT_04</t>
  </si>
  <si>
    <t xml:space="preserve">TLT_01</t>
  </si>
  <si>
    <t xml:space="preserve">GARIBALDI</t>
  </si>
  <si>
    <t xml:space="preserve">TLT_02</t>
  </si>
  <si>
    <t xml:space="preserve">TLT_03</t>
  </si>
  <si>
    <t xml:space="preserve">SPB1</t>
  </si>
  <si>
    <t xml:space="preserve">SPB5</t>
  </si>
  <si>
    <t xml:space="preserve">SPB3</t>
  </si>
  <si>
    <t xml:space="preserve">SPB2</t>
  </si>
  <si>
    <t xml:space="preserve">SPB14</t>
  </si>
  <si>
    <t xml:space="preserve">SPB4</t>
  </si>
  <si>
    <t xml:space="preserve">SPB7</t>
  </si>
  <si>
    <t xml:space="preserve">SPB8</t>
  </si>
  <si>
    <t xml:space="preserve">SPB9</t>
  </si>
  <si>
    <t xml:space="preserve">SPB16</t>
  </si>
  <si>
    <t xml:space="preserve">SPB15</t>
  </si>
  <si>
    <t xml:space="preserve">SPB18</t>
  </si>
  <si>
    <t xml:space="preserve">SPB17</t>
  </si>
  <si>
    <t xml:space="preserve">SPB12</t>
  </si>
  <si>
    <t xml:space="preserve">SPB20</t>
  </si>
  <si>
    <t xml:space="preserve">SPB10</t>
  </si>
  <si>
    <t xml:space="preserve">SPB11</t>
  </si>
  <si>
    <t xml:space="preserve">SPB13</t>
  </si>
  <si>
    <t xml:space="preserve">SPB19</t>
  </si>
  <si>
    <t xml:space="preserve">BABAI</t>
  </si>
  <si>
    <t xml:space="preserve">SVALKA</t>
  </si>
  <si>
    <t xml:space="preserve">OPTIMUS</t>
  </si>
  <si>
    <t xml:space="preserve">Топ устройств по доходу</t>
  </si>
  <si>
    <t xml:space="preserve">#</t>
  </si>
  <si>
    <t xml:space="preserve">Ext ID</t>
  </si>
  <si>
    <t xml:space="preserve">Модель</t>
  </si>
  <si>
    <t xml:space="preserve">WA, ₽</t>
  </si>
  <si>
    <t xml:space="preserve">FA6BS0301997</t>
  </si>
  <si>
    <t xml:space="preserve">sailfish ver.10</t>
  </si>
  <si>
    <t xml:space="preserve">RF8R31WN9NB</t>
  </si>
  <si>
    <t xml:space="preserve">a21s ver.12</t>
  </si>
  <si>
    <t xml:space="preserve">R9HT500JE9X</t>
  </si>
  <si>
    <t xml:space="preserve">a03 ver.13</t>
  </si>
  <si>
    <t xml:space="preserve">R9YT60B7CVR</t>
  </si>
  <si>
    <t xml:space="preserve">RF8R31WS5BR</t>
  </si>
  <si>
    <t xml:space="preserve">R58NB3CHMKP</t>
  </si>
  <si>
    <t xml:space="preserve">R58NB3YG54D</t>
  </si>
  <si>
    <t xml:space="preserve">RF8R31WR89B</t>
  </si>
  <si>
    <t xml:space="preserve">RF8R31WPSVF</t>
  </si>
  <si>
    <t xml:space="preserve">RR8N109242A</t>
  </si>
  <si>
    <t xml:space="preserve">r7 ver.13</t>
  </si>
  <si>
    <t xml:space="preserve">R58NB3CHLRF</t>
  </si>
  <si>
    <t xml:space="preserve">R92Y10LZJHV</t>
  </si>
  <si>
    <t xml:space="preserve">a05m ver.15</t>
  </si>
  <si>
    <t xml:space="preserve">R92Y10LZ6ME</t>
  </si>
  <si>
    <t xml:space="preserve">RF8N81FGLSN</t>
  </si>
  <si>
    <t xml:space="preserve">R9YT607LLKL</t>
  </si>
  <si>
    <t xml:space="preserve">a03 ver.</t>
  </si>
  <si>
    <t xml:space="preserve">R58NB3YFYKL</t>
  </si>
  <si>
    <t xml:space="preserve">R92Y207EX9B</t>
  </si>
  <si>
    <t xml:space="preserve">R58NB3CJ0LY</t>
  </si>
  <si>
    <t xml:space="preserve">R9HT500JHNJ</t>
  </si>
  <si>
    <t xml:space="preserve">R92Y10LZ62E</t>
  </si>
  <si>
    <t xml:space="preserve">R28M326BN6M</t>
  </si>
  <si>
    <t xml:space="preserve">beyond1q ver.12</t>
  </si>
  <si>
    <t xml:space="preserve">R58N40EE2ML</t>
  </si>
  <si>
    <t xml:space="preserve">a20 ver.11</t>
  </si>
  <si>
    <t xml:space="preserve">RF8R31WR9JJ</t>
  </si>
  <si>
    <t xml:space="preserve">RF8R31WRNJM</t>
  </si>
  <si>
    <t xml:space="preserve">RR8N308ZZAK</t>
  </si>
  <si>
    <t xml:space="preserve">R92Y10LZ6QN</t>
  </si>
  <si>
    <t xml:space="preserve">RF8R31WPKWX</t>
  </si>
  <si>
    <t xml:space="preserve">R58N40AL0SA</t>
  </si>
  <si>
    <t xml:space="preserve">R92Y10LZ8WZ</t>
  </si>
  <si>
    <t xml:space="preserve">R9WX30EP4RP</t>
  </si>
  <si>
    <t xml:space="preserve">Персональные рекомендации</t>
  </si>
  <si>
    <t xml:space="preserve">Сильные стороны</t>
  </si>
  <si>
    <t xml:space="preserve">Что улучшить</t>
  </si>
  <si>
    <t xml:space="preserve">Оговорки о надёжности</t>
  </si>
  <si>
    <t xml:space="preserve">Высокая эффективность: 322 ₽/устр (выше медианы) • Сильный Kakao: 19.1% код/старт</t>
  </si>
  <si>
    <t xml:space="preserve">Серьёзное недовыполнение: 25 ₽/устр/сутки (50% плана) — парк работает в 0.5× ниже цели 50 ₽/устр/сутки • Высокий бан WA-аккаунтов: 42.6% — снизить частоту/прогрев</t>
  </si>
  <si>
    <t xml:space="preserve">—</t>
  </si>
  <si>
    <t xml:space="preserve">Высокая эффективность: 278 ₽/устр (выше медианы)</t>
  </si>
  <si>
    <t xml:space="preserve">Серьёзное недовыполнение: 24 ₽/устр/сутки (48% плана) — парк работает в 0.5× ниже цели 50 ₽/устр/сутки • Высокий бан WA-аккаунтов: 34.4% — снизить частоту/прогрев</t>
  </si>
  <si>
    <t xml:space="preserve">Высокая эффективность: 294 ₽/устр (выше медианы) • Отличная доставка WA: 92.6%</t>
  </si>
  <si>
    <t xml:space="preserve">Серьёзное недовыполнение: 23 ₽/устр/сутки (45% плана) — парк работает в 0.5× ниже цели 50 ₽/устр/сутки • Низкая активность парка: 16% за 24ч</t>
  </si>
  <si>
    <t xml:space="preserve">Высокая эффективность: 298 ₽/устр (выше медианы) • Отличная доставка WA: 92.0%</t>
  </si>
  <si>
    <t xml:space="preserve">Серьёзное недовыполнение: 25 ₽/устр/сутки (50% плана) — парк работает в 0.5× ниже цели 50 ₽/устр/сутки • Высокий брак Click: 85.0% — пересобрать сценарий или отключить • Высокий бан WA-аккаунтов: 34.8% — снизить частоту/прогрев • Низкая активность парка: 14% за 24ч</t>
  </si>
  <si>
    <t xml:space="preserve">Стабильная работа без особых выбросов</t>
  </si>
  <si>
    <t xml:space="preserve">Серьёзное недовыполнение: 14 ₽/устр/сутки (28% плана) — парк работает в 0.3× ниже цели 50 ₽/устр/сутки • Высокий брак Click: 81.7% — пересобрать сценарий или отключить • Много 'мёртвых' устройств: 11 шт (8.3%) — разобрать или починить</t>
  </si>
  <si>
    <t xml:space="preserve">Отличная доставка WA: 93.6%</t>
  </si>
  <si>
    <t xml:space="preserve">Серьёзное недовыполнение: 10 ₽/устр/сутки (21% плана) — парк работает в 0.2× ниже цели 50 ₽/устр/сутки • Низкая эффективность: 133 ₽/устр (ниже медианы) • Высокий бан WA-аккаунтов: 37.2% — снизить частоту/прогрев • Много 'мёртвых' устройств: 35 шт (17.9%) — разобрать или починить • Низкая активность парка: 11% за 24ч</t>
  </si>
  <si>
    <t xml:space="preserve">Серьёзное недовыполнение: 17 ₽/устр/сутки (34% плана) — парк работает в 0.3× ниже цели 50 ₽/устр/сутки • Низкая активность парка: 12% за 24ч</t>
  </si>
  <si>
    <t xml:space="preserve">Серьёзное недовыполнение: 13 ₽/устр/сутки (27% плана) — парк работает в 0.3× ниже цели 50 ₽/устр/сутки • Высокий брак Click: 85.3% — пересобрать сценарий или отключить • Много 'мёртвых' устройств: 8 шт (12.7%) — разобрать или починить • Низкая активность парка: 8% за 24ч • Низкая доставка WA: 69.5%</t>
  </si>
  <si>
    <t xml:space="preserve">Серьёзное недовыполнение: 7 ₽/устр/сутки (14% плана) — парк работает в 0.1× ниже цели 50 ₽/устр/сутки • Низкая эффективность: 89 ₽/устр (ниже медианы) • Много 'мёртвых' устройств: 8 шт (15.1%) — разобрать или починить • Низкая активность парка: 0% за 24ч</t>
  </si>
  <si>
    <t xml:space="preserve">Серьёзное недовыполнение: 1 ₽/устр/сутки (2% плана) — парк работает в 0.0× ниже цели 50 ₽/устр/сутки • Низкая эффективность: 11 ₽/устр (ниже медианы) • Много 'мёртвых' устройств: 6 шт (22.2%) — разобрать или починить • Низкая активность парка: 0% за 24ч</t>
  </si>
  <si>
    <t xml:space="preserve">мало Click-стартов (21) — оценка брака шумная</t>
  </si>
  <si>
    <t xml:space="preserve">Эффективность по моделям устройств</t>
  </si>
  <si>
    <t xml:space="preserve">a20</t>
  </si>
  <si>
    <t xml:space="preserve">star2lte</t>
  </si>
  <si>
    <t xml:space="preserve">a21s</t>
  </si>
  <si>
    <t xml:space="preserve">universal9830</t>
  </si>
  <si>
    <t xml:space="preserve">a05m</t>
  </si>
  <si>
    <t xml:space="preserve">a04e</t>
  </si>
  <si>
    <t xml:space="preserve">a04</t>
  </si>
  <si>
    <t xml:space="preserve">a03</t>
  </si>
  <si>
    <t xml:space="preserve">star2qltesq</t>
  </si>
  <si>
    <t xml:space="preserve">a10</t>
  </si>
  <si>
    <t xml:space="preserve">r12s</t>
  </si>
  <si>
    <t xml:space="preserve">p3s</t>
  </si>
  <si>
    <t xml:space="preserve">a07</t>
  </si>
  <si>
    <t xml:space="preserve">a06</t>
  </si>
  <si>
    <t xml:space="preserve">beyond1q</t>
  </si>
  <si>
    <t xml:space="preserve">r7</t>
  </si>
  <si>
    <t xml:space="preserve">sailfish</t>
  </si>
  <si>
    <t xml:space="preserve">dreamlte</t>
  </si>
  <si>
    <t xml:space="preserve">beyond2q</t>
  </si>
  <si>
    <t xml:space="preserve">dreamlteks</t>
  </si>
  <si>
    <t xml:space="preserve">m11q</t>
  </si>
  <si>
    <t xml:space="preserve">a11q</t>
  </si>
  <si>
    <t xml:space="preserve">a03s</t>
  </si>
  <si>
    <t xml:space="preserve">SM-A105F</t>
  </si>
  <si>
    <t xml:space="preserve">SM-G781B</t>
  </si>
  <si>
    <t xml:space="preserve">21 Pro</t>
  </si>
  <si>
    <t xml:space="preserve">y2s</t>
  </si>
  <si>
    <t xml:space="preserve">Болонкин — персональный разбор</t>
  </si>
  <si>
    <t xml:space="preserve">Доход за период</t>
  </si>
  <si>
    <t xml:space="preserve">Период наблюдения</t>
  </si>
  <si>
    <t xml:space="preserve">12.9 суток</t>
  </si>
  <si>
    <t xml:space="preserve">Факт ₽/устр/сутки</t>
  </si>
  <si>
    <t xml:space="preserve">Цель ₽/устр/сутки</t>
  </si>
  <si>
    <t xml:space="preserve">ПОЧЕМУ НЕ ДОТЯГИВАЕМ ДО ПЛАНА</t>
  </si>
  <si>
    <t xml:space="preserve">🟡 1 устройств (1%) с нулевым доходом — включены, но ничего не приносят. Проверить сценарии и аккаунты.</t>
  </si>
  <si>
    <t xml:space="preserve">🔴 Больше половины парка (79 из 142) работает ниже половины цели (25 ₽/устр/сутки). Проблема системная, не в отдельных устройствах.</t>
  </si>
  <si>
    <t xml:space="preserve">🟡 Платформа 'AZA' тянет вниз: 9 ₽/устр/сутки (21 устр). Для сравнения лучшая 'MEGATRON' даёт 40 ₽/устр/сутки. Разобраться что не так с 'AZA'.</t>
  </si>
  <si>
    <t xml:space="preserve">🔴 Сервис 'Wa Load': бан аккаунтов 43% (23669 из 55575). Аккаунты горят — снизить интенсивность, прогрев.</t>
  </si>
  <si>
    <t xml:space="preserve">🟡 Сервис 'Kakao Spam': доставка только 38%. Часть рассылки не доходит — проверить качество номеров/аккаунтов.</t>
  </si>
  <si>
    <t xml:space="preserve">ПЛАТФОРМЫ (API Key)</t>
  </si>
  <si>
    <t xml:space="preserve">₽/устр</t>
  </si>
  <si>
    <t xml:space="preserve">₽/устр/сутки</t>
  </si>
  <si>
    <t xml:space="preserve">ЭФФЕКТИВНОСТЬ СЕРВИСОВ</t>
  </si>
  <si>
    <t xml:space="preserve">Бан акк %</t>
  </si>
  <si>
    <t xml:space="preserve">Доставка %</t>
  </si>
  <si>
    <t xml:space="preserve">SMS/акк</t>
  </si>
  <si>
    <t xml:space="preserve">УСТРОЙСТВА (худшие сверху — с них начинать)</t>
  </si>
  <si>
    <t xml:space="preserve">Платформа</t>
  </si>
  <si>
    <t xml:space="preserve">₽/сутки</t>
  </si>
  <si>
    <t xml:space="preserve">R58N23551GB</t>
  </si>
  <si>
    <t xml:space="preserve">нулевой доход</t>
  </si>
  <si>
    <t xml:space="preserve">RF8R31WPR6F</t>
  </si>
  <si>
    <t xml:space="preserve">ниже половины цели</t>
  </si>
  <si>
    <t xml:space="preserve">R8YTB1D8L5J</t>
  </si>
  <si>
    <t xml:space="preserve">R8YTC0EHVKE</t>
  </si>
  <si>
    <t xml:space="preserve">R58N235AVPW</t>
  </si>
  <si>
    <t xml:space="preserve">R58N40EFLRT</t>
  </si>
  <si>
    <t xml:space="preserve">R58N408CBGW</t>
  </si>
  <si>
    <t xml:space="preserve">R58N30MC85L</t>
  </si>
  <si>
    <t xml:space="preserve">R58N20L14PR</t>
  </si>
  <si>
    <t xml:space="preserve">R58N22JD4VB</t>
  </si>
  <si>
    <t xml:space="preserve">R58N40P95DP</t>
  </si>
  <si>
    <t xml:space="preserve">R58N20NARMJ</t>
  </si>
  <si>
    <t xml:space="preserve">R58N408CTBV</t>
  </si>
  <si>
    <t xml:space="preserve">R58N40ALNLP</t>
  </si>
  <si>
    <t xml:space="preserve">R58NB3YFRCZ</t>
  </si>
  <si>
    <t xml:space="preserve">R58N40EDS8D</t>
  </si>
  <si>
    <t xml:space="preserve">R58N408BVXV</t>
  </si>
  <si>
    <t xml:space="preserve">R58N40MKD8D</t>
  </si>
  <si>
    <t xml:space="preserve">R58N40MJLDL</t>
  </si>
  <si>
    <t xml:space="preserve">R58N407Y7YJ</t>
  </si>
  <si>
    <t xml:space="preserve">384f505258393098</t>
  </si>
  <si>
    <t xml:space="preserve">R58N40KA81Z</t>
  </si>
  <si>
    <t xml:space="preserve">R58N22JH0XP</t>
  </si>
  <si>
    <t xml:space="preserve">RF8N63C76LZ</t>
  </si>
  <si>
    <t xml:space="preserve">R58N40X8ZKW</t>
  </si>
  <si>
    <t xml:space="preserve">R58N40GTG6K</t>
  </si>
  <si>
    <t xml:space="preserve">R58N40ED49T</t>
  </si>
  <si>
    <t xml:space="preserve">R58N40ALN6R</t>
  </si>
  <si>
    <t xml:space="preserve">FA69L0311778</t>
  </si>
  <si>
    <t xml:space="preserve">R58N40AMAEX</t>
  </si>
  <si>
    <t xml:space="preserve">R58N40AHMJL</t>
  </si>
  <si>
    <t xml:space="preserve">R58N10CNKYV</t>
  </si>
  <si>
    <t xml:space="preserve">R58N40EAK1X</t>
  </si>
  <si>
    <t xml:space="preserve">R58N40ML8EK</t>
  </si>
  <si>
    <t xml:space="preserve">3638573330463098</t>
  </si>
  <si>
    <t xml:space="preserve">R58N33JXFBF</t>
  </si>
  <si>
    <t xml:space="preserve">R58N40EAZNH</t>
  </si>
  <si>
    <t xml:space="preserve">364b4a4c534f3098</t>
  </si>
  <si>
    <t xml:space="preserve">RX8N30A3DWN</t>
  </si>
  <si>
    <t xml:space="preserve">R58N408BMGJ</t>
  </si>
  <si>
    <t xml:space="preserve">R58N408AYBP</t>
  </si>
  <si>
    <t xml:space="preserve">R58N13ZMBAT</t>
  </si>
  <si>
    <t xml:space="preserve">R58N404QFJV</t>
  </si>
  <si>
    <t xml:space="preserve">R58N40ED7EL</t>
  </si>
  <si>
    <t xml:space="preserve">424343425a503098</t>
  </si>
  <si>
    <t xml:space="preserve">R58N40EC4NY</t>
  </si>
  <si>
    <t xml:space="preserve">R58N40MK2GZ</t>
  </si>
  <si>
    <t xml:space="preserve">R58N302CMEE</t>
  </si>
  <si>
    <t xml:space="preserve">R58N33FFNQZ</t>
  </si>
  <si>
    <t xml:space="preserve">R58N40P7KPN</t>
  </si>
  <si>
    <t xml:space="preserve">R58N21ZS3HJ</t>
  </si>
  <si>
    <t xml:space="preserve">R58N40EC7VX</t>
  </si>
  <si>
    <t xml:space="preserve">4634515037443098</t>
  </si>
  <si>
    <t xml:space="preserve">474d4c4438533098</t>
  </si>
  <si>
    <t xml:space="preserve">R58N3033VBE</t>
  </si>
  <si>
    <t xml:space="preserve">R58N40X8GYR</t>
  </si>
  <si>
    <t xml:space="preserve">R58N408BZNR</t>
  </si>
  <si>
    <t xml:space="preserve">R58N11SSC7L</t>
  </si>
  <si>
    <t xml:space="preserve">R58N40P8SCA</t>
  </si>
  <si>
    <t xml:space="preserve">R58N22JE2DN</t>
  </si>
  <si>
    <t xml:space="preserve">R58N40AHDAZ</t>
  </si>
  <si>
    <t xml:space="preserve">4633485748303098</t>
  </si>
  <si>
    <t xml:space="preserve">R58N31H509V</t>
  </si>
  <si>
    <t xml:space="preserve">FA69K0302683</t>
  </si>
  <si>
    <t xml:space="preserve">RZ8M61A7KYA</t>
  </si>
  <si>
    <t xml:space="preserve">33364749514f3098</t>
  </si>
  <si>
    <t xml:space="preserve">R58N40EEGGF</t>
  </si>
  <si>
    <t xml:space="preserve">R58N408B2ZL</t>
  </si>
  <si>
    <t xml:space="preserve">R58N30DTZ6M</t>
  </si>
  <si>
    <t xml:space="preserve">R58N40EAQCD</t>
  </si>
  <si>
    <t xml:space="preserve">R58N21VWD2Y</t>
  </si>
  <si>
    <t xml:space="preserve">4336514748553098</t>
  </si>
  <si>
    <t xml:space="preserve">R58N40GWADK</t>
  </si>
  <si>
    <t xml:space="preserve">R58N13E8X9B</t>
  </si>
  <si>
    <t xml:space="preserve">315353334d563098</t>
  </si>
  <si>
    <t xml:space="preserve">R58N40AGXQY</t>
  </si>
  <si>
    <t xml:space="preserve">RF8M41LS0EX</t>
  </si>
  <si>
    <t xml:space="preserve">R58N40AMKLV</t>
  </si>
  <si>
    <t xml:space="preserve">R58N40AJ8SE</t>
  </si>
  <si>
    <t xml:space="preserve">3258325546533098</t>
  </si>
  <si>
    <t xml:space="preserve">ниже цели</t>
  </si>
  <si>
    <t xml:space="preserve">3331474255313098</t>
  </si>
  <si>
    <t xml:space="preserve">R58N2358EWL</t>
  </si>
  <si>
    <t xml:space="preserve">R58N317E19V</t>
  </si>
  <si>
    <t xml:space="preserve">R58N40GWXKV</t>
  </si>
  <si>
    <t xml:space="preserve">RF8R31WPB8A</t>
  </si>
  <si>
    <t xml:space="preserve">323942564a353098</t>
  </si>
  <si>
    <t xml:space="preserve">R58N63X04MR</t>
  </si>
  <si>
    <t xml:space="preserve">R38MB0FBF2J</t>
  </si>
  <si>
    <t xml:space="preserve">RZ8M6159ZXE</t>
  </si>
  <si>
    <t xml:space="preserve">3852585a32453098</t>
  </si>
  <si>
    <t xml:space="preserve">R94XC0AD10K</t>
  </si>
  <si>
    <t xml:space="preserve">R92Y10LZ6AB</t>
  </si>
  <si>
    <t xml:space="preserve">RF8N815YGAN</t>
  </si>
  <si>
    <t xml:space="preserve">R58N40AG47A</t>
  </si>
  <si>
    <t xml:space="preserve">R58N40AFTWH</t>
  </si>
  <si>
    <t xml:space="preserve">R58N33F9XLH</t>
  </si>
  <si>
    <t xml:space="preserve">RZ8MA2CN3FK</t>
  </si>
  <si>
    <t xml:space="preserve">R58N40AGYKK</t>
  </si>
  <si>
    <t xml:space="preserve">R58N205YYSL</t>
  </si>
  <si>
    <t xml:space="preserve">RZ8M60BCKHP</t>
  </si>
  <si>
    <t xml:space="preserve">R58N95GHGPN</t>
  </si>
  <si>
    <t xml:space="preserve">R58N726F1LV</t>
  </si>
  <si>
    <t xml:space="preserve">R58NB3YGK5L</t>
  </si>
  <si>
    <t xml:space="preserve">RF8R31WMCTK</t>
  </si>
  <si>
    <t xml:space="preserve">474f354346553098</t>
  </si>
  <si>
    <t xml:space="preserve">RF8N91Q2X9D</t>
  </si>
  <si>
    <t xml:space="preserve">R58N40MKY0B</t>
  </si>
  <si>
    <t xml:space="preserve">R58N40ED6TZ</t>
  </si>
  <si>
    <t xml:space="preserve">R58N8099GJX</t>
  </si>
  <si>
    <t xml:space="preserve">R58N40X8E2F</t>
  </si>
  <si>
    <t xml:space="preserve">RZ8M70FH09Y</t>
  </si>
  <si>
    <t xml:space="preserve">R8YTB1EQM1A</t>
  </si>
  <si>
    <t xml:space="preserve">R58N212H9PB</t>
  </si>
  <si>
    <t xml:space="preserve">R92X522JRJD</t>
  </si>
  <si>
    <t xml:space="preserve">3854465a4d503098</t>
  </si>
  <si>
    <t xml:space="preserve">41564f454f363098</t>
  </si>
  <si>
    <t xml:space="preserve">R58N407X57M</t>
  </si>
  <si>
    <t xml:space="preserve">RF8N73CRQSZ</t>
  </si>
  <si>
    <t xml:space="preserve">R92Y10LZ6PZ</t>
  </si>
  <si>
    <t xml:space="preserve">R58N22JKPQZ</t>
  </si>
  <si>
    <t xml:space="preserve">RF8N9229XHN</t>
  </si>
  <si>
    <t xml:space="preserve">R58N40AJ8PJ</t>
  </si>
  <si>
    <t xml:space="preserve">RF8N61Z0S6X</t>
  </si>
  <si>
    <t xml:space="preserve">R58N404R9TY</t>
  </si>
  <si>
    <t xml:space="preserve">R58N22W64KM</t>
  </si>
  <si>
    <t xml:space="preserve">R58N40EDCMW</t>
  </si>
  <si>
    <t xml:space="preserve">4551434554433098</t>
  </si>
  <si>
    <t xml:space="preserve">R58N2226VPT</t>
  </si>
  <si>
    <t xml:space="preserve">RF8N7381HYP</t>
  </si>
  <si>
    <t xml:space="preserve">FA6A10305840</t>
  </si>
  <si>
    <t xml:space="preserve">RF8R31WTLFL</t>
  </si>
  <si>
    <t xml:space="preserve">R58N40ALAEY</t>
  </si>
  <si>
    <t xml:space="preserve">RF8N7351SVV</t>
  </si>
  <si>
    <t xml:space="preserve">OK</t>
  </si>
  <si>
    <t xml:space="preserve">Глухов — персональный разбор</t>
  </si>
  <si>
    <t xml:space="preserve">11.7 суток</t>
  </si>
  <si>
    <t xml:space="preserve">🔴 1 'мёртвых' устройств (1% парка) — не работают и простаивают &gt;2 дней. Это потеря ~50 ₽/сутки. Проверить: связь, аккаунты, переустановка.</t>
  </si>
  <si>
    <t xml:space="preserve">🔴 Больше половины парка (87 из 155) работает ниже половины цели (25 ₽/устр/сутки). Проблема системная, не в отдельных устройствах.</t>
  </si>
  <si>
    <t xml:space="preserve">🟡 Платформа 'DIEGO' тянет вниз: 12 ₽/устр/сутки (28 устр). Для сравнения лучшая 'MEGAN' даёт 41 ₽/устр/сутки. Разобраться что не так с 'DIEGO'.</t>
  </si>
  <si>
    <t xml:space="preserve">🔴 Сервис 'Wa Load': бан аккаунтов 34% (18810 из 54621). Аккаунты горят — снизить интенсивность, прогрев.</t>
  </si>
  <si>
    <t xml:space="preserve">мёртвое (нет дохода, простой &gt;2 дн)</t>
  </si>
  <si>
    <t xml:space="preserve">R8YTB18T0CF</t>
  </si>
  <si>
    <t xml:space="preserve">R8YTC0KHZ1T</t>
  </si>
  <si>
    <t xml:space="preserve">R8YTB1EQTDX</t>
  </si>
  <si>
    <t xml:space="preserve">R83W70H8Z1B</t>
  </si>
  <si>
    <t xml:space="preserve">R83W70H8PCB</t>
  </si>
  <si>
    <t xml:space="preserve">R58N40KPHJA</t>
  </si>
  <si>
    <t xml:space="preserve">R8YTC08K1ZY</t>
  </si>
  <si>
    <t xml:space="preserve">RF8R31WSH0K</t>
  </si>
  <si>
    <t xml:space="preserve">R8YTB18SMBH</t>
  </si>
  <si>
    <t xml:space="preserve">R8YTC09QT9A</t>
  </si>
  <si>
    <t xml:space="preserve">R8YW4050E9L</t>
  </si>
  <si>
    <t xml:space="preserve">R92W9084LGR</t>
  </si>
  <si>
    <t xml:space="preserve">R8YW91JTQCA</t>
  </si>
  <si>
    <t xml:space="preserve">ce031713ebcdae0302</t>
  </si>
  <si>
    <t xml:space="preserve">ce091719b872a50303</t>
  </si>
  <si>
    <t xml:space="preserve">ce091719bb617e0305</t>
  </si>
  <si>
    <t xml:space="preserve">23d0e61c5a0c7ece</t>
  </si>
  <si>
    <t xml:space="preserve">ce031713e281ecc00d</t>
  </si>
  <si>
    <t xml:space="preserve">R28M21N9RTX</t>
  </si>
  <si>
    <t xml:space="preserve">9889db4430485a534a</t>
  </si>
  <si>
    <t xml:space="preserve">ce031713ade7b02c0c</t>
  </si>
  <si>
    <t xml:space="preserve">ce11171bea2bef2804</t>
  </si>
  <si>
    <t xml:space="preserve">ce0817181a6350fb0c</t>
  </si>
  <si>
    <t xml:space="preserve">ce031713d21e322501</t>
  </si>
  <si>
    <t xml:space="preserve">ce0317135ce73cd00c</t>
  </si>
  <si>
    <t xml:space="preserve">2575d4102e1c7ece</t>
  </si>
  <si>
    <t xml:space="preserve">ce041714b854cf3202</t>
  </si>
  <si>
    <t xml:space="preserve">ce031713f31254770c</t>
  </si>
  <si>
    <t xml:space="preserve">R58N40KNTFD</t>
  </si>
  <si>
    <t xml:space="preserve">ce091719c1401a2504</t>
  </si>
  <si>
    <t xml:space="preserve">R58N20WLDQZ</t>
  </si>
  <si>
    <t xml:space="preserve">ce04171435e6e8620c</t>
  </si>
  <si>
    <t xml:space="preserve">ce07171714013a0801</t>
  </si>
  <si>
    <t xml:space="preserve">R9YT511CAPZ</t>
  </si>
  <si>
    <t xml:space="preserve">R58NA42RAWH</t>
  </si>
  <si>
    <t xml:space="preserve">ce0417142446e0920d</t>
  </si>
  <si>
    <t xml:space="preserve">R83W50PRE6D</t>
  </si>
  <si>
    <t xml:space="preserve">24126a20830c7ece</t>
  </si>
  <si>
    <t xml:space="preserve">ce12171c4b2d3d1d05</t>
  </si>
  <si>
    <t xml:space="preserve">2254a83217057ece</t>
  </si>
  <si>
    <t xml:space="preserve">25780d60181c7ece</t>
  </si>
  <si>
    <t xml:space="preserve">R9HT5010XJD</t>
  </si>
  <si>
    <t xml:space="preserve">R8YTC0GSNXD</t>
  </si>
  <si>
    <t xml:space="preserve">ce031713ddac102d03</t>
  </si>
  <si>
    <t xml:space="preserve">2575b0d5ab1c7ece</t>
  </si>
  <si>
    <t xml:space="preserve">R9ATB01DXTJ</t>
  </si>
  <si>
    <t xml:space="preserve">ce091719b879d43e03</t>
  </si>
  <si>
    <t xml:space="preserve">R8YTC09QRRR</t>
  </si>
  <si>
    <t xml:space="preserve">2555271709027ece</t>
  </si>
  <si>
    <t xml:space="preserve">ce05171542ae773a01</t>
  </si>
  <si>
    <t xml:space="preserve">ce091719b8232f1303</t>
  </si>
  <si>
    <t xml:space="preserve">25c961a1661c7ece</t>
  </si>
  <si>
    <t xml:space="preserve">R58N40MKJMW</t>
  </si>
  <si>
    <t xml:space="preserve">R92TC01G52J</t>
  </si>
  <si>
    <t xml:space="preserve">R92TB0AYNTP</t>
  </si>
  <si>
    <t xml:space="preserve">R9YT511C9MJ</t>
  </si>
  <si>
    <t xml:space="preserve">ce041714798908660d</t>
  </si>
  <si>
    <t xml:space="preserve">ce061716616a670b02</t>
  </si>
  <si>
    <t xml:space="preserve">R8YTB1EQL4K</t>
  </si>
  <si>
    <t xml:space="preserve">ce0317138055d4d60c</t>
  </si>
  <si>
    <t xml:space="preserve">R58N40EE28E</t>
  </si>
  <si>
    <t xml:space="preserve">23eb1d1e2a057ece</t>
  </si>
  <si>
    <t xml:space="preserve">R9WX400575D</t>
  </si>
  <si>
    <t xml:space="preserve">R83W5031RHB</t>
  </si>
  <si>
    <t xml:space="preserve">R83W50PRHHE</t>
  </si>
  <si>
    <t xml:space="preserve">23ed4084f10c7ece</t>
  </si>
  <si>
    <t xml:space="preserve">21f0706823057ece</t>
  </si>
  <si>
    <t xml:space="preserve">R92W70E0EHY</t>
  </si>
  <si>
    <t xml:space="preserve">R58N40MK0HT</t>
  </si>
  <si>
    <t xml:space="preserve">23ed15d019057ece</t>
  </si>
  <si>
    <t xml:space="preserve">ce11182b4468031e02</t>
  </si>
  <si>
    <t xml:space="preserve">ce03171378fa10840c</t>
  </si>
  <si>
    <t xml:space="preserve">2b8a57df04037ece</t>
  </si>
  <si>
    <t xml:space="preserve">R92W9084JET</t>
  </si>
  <si>
    <t xml:space="preserve">R9YT60B5EFT</t>
  </si>
  <si>
    <t xml:space="preserve">R83W70H8EZL</t>
  </si>
  <si>
    <t xml:space="preserve">23ed15d01e057ece</t>
  </si>
  <si>
    <t xml:space="preserve">ce081718b8168f2505</t>
  </si>
  <si>
    <t xml:space="preserve">2b596fa21c027ece</t>
  </si>
  <si>
    <t xml:space="preserve">ce0317136abb600b0c</t>
  </si>
  <si>
    <t xml:space="preserve">ce031713b1a22c130d</t>
  </si>
  <si>
    <t xml:space="preserve">R8YW91B2BYL</t>
  </si>
  <si>
    <t xml:space="preserve">ce0617163d5a433401</t>
  </si>
  <si>
    <t xml:space="preserve">R8YTB18STEF</t>
  </si>
  <si>
    <t xml:space="preserve">ce081718608a5c2103</t>
  </si>
  <si>
    <t xml:space="preserve">ce10171a1ba53c2105</t>
  </si>
  <si>
    <t xml:space="preserve">ce0617169c063cb70d</t>
  </si>
  <si>
    <t xml:space="preserve">25c95ddc7e1c7ece</t>
  </si>
  <si>
    <t xml:space="preserve">R8YW507DVSJ</t>
  </si>
  <si>
    <t xml:space="preserve">R8YTC08K0YM</t>
  </si>
  <si>
    <t xml:space="preserve">ce041714d3a5e4b60d</t>
  </si>
  <si>
    <t xml:space="preserve">23ed0f5337057ece</t>
  </si>
  <si>
    <t xml:space="preserve">ce081718d5f9362104</t>
  </si>
  <si>
    <t xml:space="preserve">23ed441c2d0c7ece</t>
  </si>
  <si>
    <t xml:space="preserve">R8YW70XH5AF</t>
  </si>
  <si>
    <t xml:space="preserve">R28M807WLFT</t>
  </si>
  <si>
    <t xml:space="preserve">ce061716618664390d</t>
  </si>
  <si>
    <t xml:space="preserve">23eb3ac43a057ece</t>
  </si>
  <si>
    <t xml:space="preserve">R83W307PX9J</t>
  </si>
  <si>
    <t xml:space="preserve">ce031713a2e53c750c</t>
  </si>
  <si>
    <t xml:space="preserve">2575d411331c7ece</t>
  </si>
  <si>
    <t xml:space="preserve">R58N22W4SMZ</t>
  </si>
  <si>
    <t xml:space="preserve">ce02171299a4de3201</t>
  </si>
  <si>
    <t xml:space="preserve">R8YTC08JS6W</t>
  </si>
  <si>
    <t xml:space="preserve">ce021712cb3718c90c</t>
  </si>
  <si>
    <t xml:space="preserve">R58N40EDWAE</t>
  </si>
  <si>
    <t xml:space="preserve">R8YTB0V681W</t>
  </si>
  <si>
    <t xml:space="preserve">R8YTC0GSMVZ</t>
  </si>
  <si>
    <t xml:space="preserve">25c95dddb01c7ece</t>
  </si>
  <si>
    <t xml:space="preserve">R28M22J2S0X</t>
  </si>
  <si>
    <t xml:space="preserve">R8YTB18SLLD</t>
  </si>
  <si>
    <t xml:space="preserve">R8YTC09V5CA</t>
  </si>
  <si>
    <t xml:space="preserve">R8YTB18SPTX</t>
  </si>
  <si>
    <t xml:space="preserve">R28M20EGDLE</t>
  </si>
  <si>
    <t xml:space="preserve">RR8N107AFFA</t>
  </si>
  <si>
    <t xml:space="preserve">23ed090b40057ece</t>
  </si>
  <si>
    <t xml:space="preserve">R58N40KPXXZ</t>
  </si>
  <si>
    <t xml:space="preserve">R8YTB1EQVEN</t>
  </si>
  <si>
    <t xml:space="preserve">R28M52EKTMP</t>
  </si>
  <si>
    <t xml:space="preserve">23eb242f2b057ece</t>
  </si>
  <si>
    <t xml:space="preserve">25c961a4861c7ece</t>
  </si>
  <si>
    <t xml:space="preserve">R58N40KQKVE</t>
  </si>
  <si>
    <t xml:space="preserve">R8YTC09V07Z</t>
  </si>
  <si>
    <t xml:space="preserve">23ed92e4ba0c7ece</t>
  </si>
  <si>
    <t xml:space="preserve">25c961a16e1c7ece</t>
  </si>
  <si>
    <t xml:space="preserve">R8YTC09V3YT</t>
  </si>
  <si>
    <t xml:space="preserve">2575d410f31c7ece</t>
  </si>
  <si>
    <t xml:space="preserve">257809b97e1c7ece</t>
  </si>
  <si>
    <t xml:space="preserve">23ed160226057ece</t>
  </si>
  <si>
    <t xml:space="preserve">2bb5098c1f017ece</t>
  </si>
  <si>
    <t xml:space="preserve">23eb3ae321057ece</t>
  </si>
  <si>
    <t xml:space="preserve">R58N408AZQL</t>
  </si>
  <si>
    <t xml:space="preserve">23eb455505057ece</t>
  </si>
  <si>
    <t xml:space="preserve">R28M3265KEL</t>
  </si>
  <si>
    <t xml:space="preserve">22ddf5522c027ece</t>
  </si>
  <si>
    <t xml:space="preserve">R58N40GWEPF</t>
  </si>
  <si>
    <t xml:space="preserve">23d0e614540c7ece</t>
  </si>
  <si>
    <t xml:space="preserve">R58N40EAJ5A</t>
  </si>
  <si>
    <t xml:space="preserve">R8YTB18SJ7B</t>
  </si>
  <si>
    <t xml:space="preserve">R8YTC09TVLN</t>
  </si>
  <si>
    <t xml:space="preserve">R58N40ECB5Y</t>
  </si>
  <si>
    <t xml:space="preserve">R58N40KPGZJ</t>
  </si>
  <si>
    <t xml:space="preserve">R28M805ZW1W</t>
  </si>
  <si>
    <t xml:space="preserve">R28M20WQR2W</t>
  </si>
  <si>
    <t xml:space="preserve">R28M3058C8Z</t>
  </si>
  <si>
    <t xml:space="preserve">R28M32FXBKM</t>
  </si>
  <si>
    <t xml:space="preserve">R58N615816A</t>
  </si>
  <si>
    <t xml:space="preserve">RR8N106BFNN</t>
  </si>
  <si>
    <t xml:space="preserve">R28M518AWVP</t>
  </si>
  <si>
    <t xml:space="preserve">RF8N62J7GAL</t>
  </si>
  <si>
    <t xml:space="preserve">Армен — персональный разбор</t>
  </si>
  <si>
    <t xml:space="preserve">13.0 суток</t>
  </si>
  <si>
    <t xml:space="preserve">🔴 3 'мёртвых' устройств (2% парка) — не работают и простаивают &gt;2 дней. Это потеря ~150 ₽/сутки. Проверить: связь, аккаунты, переустановка.</t>
  </si>
  <si>
    <t xml:space="preserve">🔴 Больше половины парка (84 из 124) работает ниже половины цели (25 ₽/устр/сутки). Проблема системная, не в отдельных устройствах.</t>
  </si>
  <si>
    <t xml:space="preserve">🟡 Платформа 'HANOI' тянет вниз: 11 ₽/устр/сутки (36 устр). Для сравнения лучшая 'VIBPC1' даёт 38 ₽/устр/сутки. Разобраться что не так с 'HANOI'.</t>
  </si>
  <si>
    <t xml:space="preserve">🔴 Сервис 'Wa Load': бан аккаунтов 30% (13700 из 44907). Аккаунты горят — снизить интенсивность, прогрев.</t>
  </si>
  <si>
    <t xml:space="preserve">🟡 Сервис 'Kakao Spam': доставка только 53%. Часть рассылки не доходит — проверить качество номеров/аккаунтов.</t>
  </si>
  <si>
    <t xml:space="preserve">4738314659443098</t>
  </si>
  <si>
    <t xml:space="preserve">R3CN60PSJ0N</t>
  </si>
  <si>
    <t xml:space="preserve">R58N11SSPDX</t>
  </si>
  <si>
    <t xml:space="preserve">R5J565774650</t>
  </si>
  <si>
    <t xml:space="preserve">R9YT51174EB</t>
  </si>
  <si>
    <t xml:space="preserve">R58N23HN61Z</t>
  </si>
  <si>
    <t xml:space="preserve">R83YC0D65KB</t>
  </si>
  <si>
    <t xml:space="preserve">RF8R31WTPFX</t>
  </si>
  <si>
    <t xml:space="preserve">R83YC0D6FEX</t>
  </si>
  <si>
    <t xml:space="preserve">R83YC05FBYL</t>
  </si>
  <si>
    <t xml:space="preserve">3755324d38363098</t>
  </si>
  <si>
    <t xml:space="preserve">R83YC0DE3HA</t>
  </si>
  <si>
    <t xml:space="preserve">R58NB3CHYZA</t>
  </si>
  <si>
    <t xml:space="preserve">R83YC0DFPWT</t>
  </si>
  <si>
    <t xml:space="preserve">R58N312KGYK</t>
  </si>
  <si>
    <t xml:space="preserve">R83YC0D8HHP</t>
  </si>
  <si>
    <t xml:space="preserve">RZ8NB1788WN</t>
  </si>
  <si>
    <t xml:space="preserve">R83YB17QRDW</t>
  </si>
  <si>
    <t xml:space="preserve">R58N30M5MNT</t>
  </si>
  <si>
    <t xml:space="preserve">3131414243423098</t>
  </si>
  <si>
    <t xml:space="preserve">R58N23BD9CW</t>
  </si>
  <si>
    <t xml:space="preserve">413338484d353098</t>
  </si>
  <si>
    <t xml:space="preserve">R58N30MCFEF</t>
  </si>
  <si>
    <t xml:space="preserve">R83YB17Q3BZ</t>
  </si>
  <si>
    <t xml:space="preserve">384b33574d493098</t>
  </si>
  <si>
    <t xml:space="preserve">R58N22MJR8N</t>
  </si>
  <si>
    <t xml:space="preserve">R58N20Z4JVW</t>
  </si>
  <si>
    <t xml:space="preserve">R58N330HAWL</t>
  </si>
  <si>
    <t xml:space="preserve">R83YB17PJNN</t>
  </si>
  <si>
    <t xml:space="preserve">R58N22T4X5A</t>
  </si>
  <si>
    <t xml:space="preserve">R83YC0D9J4P</t>
  </si>
  <si>
    <t xml:space="preserve">R83YC0D75ZL</t>
  </si>
  <si>
    <t xml:space="preserve">R38MC04J04P</t>
  </si>
  <si>
    <t xml:space="preserve">R58N22VHBJL</t>
  </si>
  <si>
    <t xml:space="preserve">RZ8R128R29V</t>
  </si>
  <si>
    <t xml:space="preserve">385850484a563098</t>
  </si>
  <si>
    <t xml:space="preserve">R58N10CL0HD</t>
  </si>
  <si>
    <t xml:space="preserve">R83YC05FC8X</t>
  </si>
  <si>
    <t xml:space="preserve">R92Y10LYYHE</t>
  </si>
  <si>
    <t xml:space="preserve">R58N21VWS2F</t>
  </si>
  <si>
    <t xml:space="preserve">R83YC0D6F7V</t>
  </si>
  <si>
    <t xml:space="preserve">3154555253313498</t>
  </si>
  <si>
    <t xml:space="preserve">R58N221X71P</t>
  </si>
  <si>
    <t xml:space="preserve">30413730594a3098</t>
  </si>
  <si>
    <t xml:space="preserve">R92Y10LZ7MF</t>
  </si>
  <si>
    <t xml:space="preserve">365831444f313098</t>
  </si>
  <si>
    <t xml:space="preserve">384e42394f593098</t>
  </si>
  <si>
    <t xml:space="preserve">RF8NA1WQC1H</t>
  </si>
  <si>
    <t xml:space="preserve">R83YB17PS9L</t>
  </si>
  <si>
    <t xml:space="preserve">3830304935333098</t>
  </si>
  <si>
    <t xml:space="preserve">R83YC0DF91B</t>
  </si>
  <si>
    <t xml:space="preserve">R58N34E925B</t>
  </si>
  <si>
    <t xml:space="preserve">R83YC05EJYJ</t>
  </si>
  <si>
    <t xml:space="preserve">R83YB17QSZX</t>
  </si>
  <si>
    <t xml:space="preserve">R83YB17PJJF</t>
  </si>
  <si>
    <t xml:space="preserve">313956364b423098</t>
  </si>
  <si>
    <t xml:space="preserve">R83W503214N</t>
  </si>
  <si>
    <t xml:space="preserve">R58N3104E8P</t>
  </si>
  <si>
    <t xml:space="preserve">33524734324a3098</t>
  </si>
  <si>
    <t xml:space="preserve">R83YC0D6E1E</t>
  </si>
  <si>
    <t xml:space="preserve">R94XC0AD6KA</t>
  </si>
  <si>
    <t xml:space="preserve">R8YYA1LEHYP</t>
  </si>
  <si>
    <t xml:space="preserve">R94XC0AD31Z</t>
  </si>
  <si>
    <t xml:space="preserve">R9PW20Y778W</t>
  </si>
  <si>
    <t xml:space="preserve">R58N14PVL4E</t>
  </si>
  <si>
    <t xml:space="preserve">R83YC0DED1L</t>
  </si>
  <si>
    <t xml:space="preserve">41474b5332463098</t>
  </si>
  <si>
    <t xml:space="preserve">R94XC0AD11V</t>
  </si>
  <si>
    <t xml:space="preserve">R83YB17SGGY</t>
  </si>
  <si>
    <t xml:space="preserve">R92Y207FRCE</t>
  </si>
  <si>
    <t xml:space="preserve">R92XC02JBAP</t>
  </si>
  <si>
    <t xml:space="preserve">R94XC0AD2BX</t>
  </si>
  <si>
    <t xml:space="preserve">R94XC03N24Z</t>
  </si>
  <si>
    <t xml:space="preserve">R58NB3TZTQE</t>
  </si>
  <si>
    <t xml:space="preserve">R92XC02JCDP</t>
  </si>
  <si>
    <t xml:space="preserve">R92Y10LZQXP</t>
  </si>
  <si>
    <t xml:space="preserve">R92Y207EF1X</t>
  </si>
  <si>
    <t xml:space="preserve">R94XC0AD2HZ</t>
  </si>
  <si>
    <t xml:space="preserve">R92Y10LYW6L</t>
  </si>
  <si>
    <t xml:space="preserve">R94XC0ACYTJ</t>
  </si>
  <si>
    <t xml:space="preserve">R58NB3CHYYM</t>
  </si>
  <si>
    <t xml:space="preserve">R92Y10LXVXX</t>
  </si>
  <si>
    <t xml:space="preserve">R58NB3TYW4R</t>
  </si>
  <si>
    <t xml:space="preserve">R92TB0ST3VJ</t>
  </si>
  <si>
    <t xml:space="preserve">R92Y10LZEHH</t>
  </si>
  <si>
    <t xml:space="preserve">RF8N72MBDTK</t>
  </si>
  <si>
    <t xml:space="preserve">R94XC0ABVKV</t>
  </si>
  <si>
    <t xml:space="preserve">R92Y10LZ4CF</t>
  </si>
  <si>
    <t xml:space="preserve">RF8R31WTTAP</t>
  </si>
  <si>
    <t xml:space="preserve">R92Y10LYYVT</t>
  </si>
  <si>
    <t xml:space="preserve">RF8R31WNJZL</t>
  </si>
  <si>
    <t xml:space="preserve">RF8N50VMQ8H</t>
  </si>
  <si>
    <t xml:space="preserve">R92Y10LZAQH</t>
  </si>
  <si>
    <t xml:space="preserve">RF8R31WQYZP</t>
  </si>
  <si>
    <t xml:space="preserve">R94XC0ABQSV</t>
  </si>
  <si>
    <t xml:space="preserve">R94XC0AD46J</t>
  </si>
  <si>
    <t xml:space="preserve">RF8R31WN08D</t>
  </si>
  <si>
    <t xml:space="preserve">R94XC0AD4BH</t>
  </si>
  <si>
    <t xml:space="preserve">R58NA42RCTX</t>
  </si>
  <si>
    <t xml:space="preserve">R94XC0AD3EX</t>
  </si>
  <si>
    <t xml:space="preserve">RF8N80B325A</t>
  </si>
  <si>
    <t xml:space="preserve">RF8R31WRJPV</t>
  </si>
  <si>
    <t xml:space="preserve">R92XC02JANZ</t>
  </si>
  <si>
    <t xml:space="preserve">R92X62BHR3Y</t>
  </si>
  <si>
    <t xml:space="preserve">R92XC02JEED</t>
  </si>
  <si>
    <t xml:space="preserve">RF8R31WQPNF</t>
  </si>
  <si>
    <t xml:space="preserve">RF8N80B3SDF</t>
  </si>
  <si>
    <t xml:space="preserve">Некит — персональный разбор</t>
  </si>
  <si>
    <t xml:space="preserve">12.0 суток</t>
  </si>
  <si>
    <t xml:space="preserve">🟡 Платформа 'TLT_03' тянет вниз: 16 ₽/устр/сутки (21 устр). Для сравнения лучшая 'GARIBALDI' даёт 26 ₽/устр/сутки. Разобраться что не так с 'TLT_03'.</t>
  </si>
  <si>
    <t xml:space="preserve">🔴 Сервис 'Wa Load': бан аккаунтов 35% (15423 из 44351). Аккаунты горят — снизить интенсивность, прогрев.</t>
  </si>
  <si>
    <t xml:space="preserve">🟡 Сервис 'Kakao Spam': доставка только 49%. Часть рассылки не доходит — проверить качество номеров/аккаунтов.</t>
  </si>
  <si>
    <t xml:space="preserve">228237df31027ece</t>
  </si>
  <si>
    <t xml:space="preserve">192.168.1.64:5555</t>
  </si>
  <si>
    <t xml:space="preserve">R58N20N9SHY</t>
  </si>
  <si>
    <t xml:space="preserve">22a8e3a4fc0d7ece</t>
  </si>
  <si>
    <t xml:space="preserve">R58N40ML4FE</t>
  </si>
  <si>
    <t xml:space="preserve">R8YTC0GSG2N</t>
  </si>
  <si>
    <t xml:space="preserve">R58N62YP8NB</t>
  </si>
  <si>
    <t xml:space="preserve">R58N22JFW5D</t>
  </si>
  <si>
    <t xml:space="preserve">RZ8M42MKBAF</t>
  </si>
  <si>
    <t xml:space="preserve">227453953c037ece</t>
  </si>
  <si>
    <t xml:space="preserve">22d9c03c39037ece</t>
  </si>
  <si>
    <t xml:space="preserve">2a910a3c27027ece</t>
  </si>
  <si>
    <t xml:space="preserve">R58N22JK6XZ</t>
  </si>
  <si>
    <t xml:space="preserve">R9YT608RC0P</t>
  </si>
  <si>
    <t xml:space="preserve">23aa5f1920047ece</t>
  </si>
  <si>
    <t xml:space="preserve">R8YTB18T39V</t>
  </si>
  <si>
    <t xml:space="preserve">247b58a43b0d7ece</t>
  </si>
  <si>
    <t xml:space="preserve">22a56a983c027ece</t>
  </si>
  <si>
    <t xml:space="preserve">R58N40AL4AV</t>
  </si>
  <si>
    <t xml:space="preserve">227bd90e30057ece</t>
  </si>
  <si>
    <t xml:space="preserve">4c474b515a443498</t>
  </si>
  <si>
    <t xml:space="preserve">1ca9b2c8aa0c7ece</t>
  </si>
  <si>
    <t xml:space="preserve">515a304652443498</t>
  </si>
  <si>
    <t xml:space="preserve">24808698020c7ece</t>
  </si>
  <si>
    <t xml:space="preserve">R58N61EJGEZ</t>
  </si>
  <si>
    <t xml:space="preserve">23a8503c01027ece</t>
  </si>
  <si>
    <t xml:space="preserve">1c5c5e1f28037ece</t>
  </si>
  <si>
    <t xml:space="preserve">22bb87d4be0b7ece</t>
  </si>
  <si>
    <t xml:space="preserve">R58N22VT1VA</t>
  </si>
  <si>
    <t xml:space="preserve">27ba5c7409047ece</t>
  </si>
  <si>
    <t xml:space="preserve">R58N40AJ5NW</t>
  </si>
  <si>
    <t xml:space="preserve">R58N40EFZLY</t>
  </si>
  <si>
    <t xml:space="preserve">RZ8M80CL4PF</t>
  </si>
  <si>
    <t xml:space="preserve">R58N40GXG6J</t>
  </si>
  <si>
    <t xml:space="preserve">22993a922b017ece</t>
  </si>
  <si>
    <t xml:space="preserve">218b6c581d057ece</t>
  </si>
  <si>
    <t xml:space="preserve">23e267a418027ece</t>
  </si>
  <si>
    <t xml:space="preserve">27b95bacfb1c7ece</t>
  </si>
  <si>
    <t xml:space="preserve">231328d0dd0c7ece</t>
  </si>
  <si>
    <t xml:space="preserve">R9HT709GB1E</t>
  </si>
  <si>
    <t xml:space="preserve">R58N40GTKPY</t>
  </si>
  <si>
    <t xml:space="preserve">246d2bee03037ece</t>
  </si>
  <si>
    <t xml:space="preserve">227a0f991f027ece</t>
  </si>
  <si>
    <t xml:space="preserve">29a3618b39047ece</t>
  </si>
  <si>
    <t xml:space="preserve">25549f8b2f057ece</t>
  </si>
  <si>
    <t xml:space="preserve">1cfc8ecf24037ece</t>
  </si>
  <si>
    <t xml:space="preserve">21f8ec28db0d7ece</t>
  </si>
  <si>
    <t xml:space="preserve">R58N60V5YYK</t>
  </si>
  <si>
    <t xml:space="preserve">22dc1e1e35047ece</t>
  </si>
  <si>
    <t xml:space="preserve">2284bae73f017ece</t>
  </si>
  <si>
    <t xml:space="preserve">29b472ac5c0c7ece</t>
  </si>
  <si>
    <t xml:space="preserve">R58N20WJXPK</t>
  </si>
  <si>
    <t xml:space="preserve">R58N40KQJER</t>
  </si>
  <si>
    <t xml:space="preserve">R58N40EEZAD</t>
  </si>
  <si>
    <t xml:space="preserve">R83W70H8HLE</t>
  </si>
  <si>
    <t xml:space="preserve">R58N408BPXW</t>
  </si>
  <si>
    <t xml:space="preserve">245b0c3124027ece</t>
  </si>
  <si>
    <t xml:space="preserve">2254433d2a037ece</t>
  </si>
  <si>
    <t xml:space="preserve">24595f0a1b017ece</t>
  </si>
  <si>
    <t xml:space="preserve">R58N40KQ1HW</t>
  </si>
  <si>
    <t xml:space="preserve">1cda16ec430b7ece</t>
  </si>
  <si>
    <t xml:space="preserve">R58N22W69DE</t>
  </si>
  <si>
    <t xml:space="preserve">R58N40MKYZN</t>
  </si>
  <si>
    <t xml:space="preserve">2222ba5a2c027ece</t>
  </si>
  <si>
    <t xml:space="preserve">2a6b61802e027ece</t>
  </si>
  <si>
    <t xml:space="preserve">R58N404QS2T</t>
  </si>
  <si>
    <t xml:space="preserve">RF8M409EZCF</t>
  </si>
  <si>
    <t xml:space="preserve">R9HN709ZA3J</t>
  </si>
  <si>
    <t xml:space="preserve">R58N22JM2VH</t>
  </si>
  <si>
    <t xml:space="preserve">RZ8MA2P9S1L</t>
  </si>
  <si>
    <t xml:space="preserve">R58N40AHPAA</t>
  </si>
  <si>
    <t xml:space="preserve">RZ8MA1Q31XY</t>
  </si>
  <si>
    <t xml:space="preserve">R9HT5010XKL</t>
  </si>
  <si>
    <t xml:space="preserve">R58N408B16V</t>
  </si>
  <si>
    <t xml:space="preserve">R58N40AH90H</t>
  </si>
  <si>
    <t xml:space="preserve">2ad50d1739037ece</t>
  </si>
  <si>
    <t xml:space="preserve">R92TB0AYP0K</t>
  </si>
  <si>
    <t xml:space="preserve">R58N40MKPAT</t>
  </si>
  <si>
    <t xml:space="preserve">R58N40X838W</t>
  </si>
  <si>
    <t xml:space="preserve">R9YT511CBYB</t>
  </si>
  <si>
    <t xml:space="preserve">R58N40MKVBP</t>
  </si>
  <si>
    <t xml:space="preserve">R83W50PRMZA</t>
  </si>
  <si>
    <t xml:space="preserve">RZ8MA2S3DCA</t>
  </si>
  <si>
    <t xml:space="preserve">R83W50PRHBB</t>
  </si>
  <si>
    <t xml:space="preserve">R83W50PRB1H</t>
  </si>
  <si>
    <t xml:space="preserve">R58N219P0PN</t>
  </si>
  <si>
    <t xml:space="preserve">R58N40EE0KT</t>
  </si>
  <si>
    <t xml:space="preserve">R58N40AHPEP</t>
  </si>
  <si>
    <t xml:space="preserve">229b538c2a0d7ece</t>
  </si>
  <si>
    <t xml:space="preserve">R58N407Y5ST</t>
  </si>
  <si>
    <t xml:space="preserve">RF8M43JLDDR</t>
  </si>
  <si>
    <t xml:space="preserve">R9YT519FM7H</t>
  </si>
  <si>
    <t xml:space="preserve">RZ8MB1K7KFB</t>
  </si>
  <si>
    <t xml:space="preserve">R9YT519FTJR</t>
  </si>
  <si>
    <t xml:space="preserve">R9YTA0H1TZY</t>
  </si>
  <si>
    <t xml:space="preserve">R58N40EEG2V</t>
  </si>
  <si>
    <t xml:space="preserve">FA69J0313964</t>
  </si>
  <si>
    <t xml:space="preserve">R58N404QVMX</t>
  </si>
  <si>
    <t xml:space="preserve">R58N40ECLHA</t>
  </si>
  <si>
    <t xml:space="preserve">R58N22JK8WJ</t>
  </si>
  <si>
    <t xml:space="preserve">R58N40EEYSD</t>
  </si>
  <si>
    <t xml:space="preserve">R9JR40L16TJ</t>
  </si>
  <si>
    <t xml:space="preserve">R9HT5046SED</t>
  </si>
  <si>
    <t xml:space="preserve">R58N40AKARV</t>
  </si>
  <si>
    <t xml:space="preserve">R58N40EASQL</t>
  </si>
  <si>
    <t xml:space="preserve">R9YT5101R2M</t>
  </si>
  <si>
    <t xml:space="preserve">R58N40GV9AV</t>
  </si>
  <si>
    <t xml:space="preserve">R83W50PRFKZ</t>
  </si>
  <si>
    <t xml:space="preserve">R9HT800BE1V</t>
  </si>
  <si>
    <t xml:space="preserve">RZ8MB2768WD</t>
  </si>
  <si>
    <t xml:space="preserve">FA69P0311776</t>
  </si>
  <si>
    <t xml:space="preserve">R8YTB1EQTKA</t>
  </si>
  <si>
    <t xml:space="preserve">R58N40AJECK</t>
  </si>
  <si>
    <t xml:space="preserve">R8YTB1EQLSE</t>
  </si>
  <si>
    <t xml:space="preserve">R9YT511L4EN</t>
  </si>
  <si>
    <t xml:space="preserve">R58N40AKG0F</t>
  </si>
  <si>
    <t xml:space="preserve">R9YTA0H1WPW</t>
  </si>
  <si>
    <t xml:space="preserve">R9HT800BDYA</t>
  </si>
  <si>
    <t xml:space="preserve">R9HT5046JPN</t>
  </si>
  <si>
    <t xml:space="preserve">R9YT608RNQL</t>
  </si>
  <si>
    <t xml:space="preserve">Марат — персональный разбор</t>
  </si>
  <si>
    <t xml:space="preserve">14.0 суток</t>
  </si>
  <si>
    <t xml:space="preserve">🔴 9 'мёртвых' устройств (7% парка) — не работают и простаивают &gt;2 дней. Это потеря ~450 ₽/сутки. Проверить: связь, аккаунты, переустановка.</t>
  </si>
  <si>
    <t xml:space="preserve">🔴 Больше половины парка (112 из 132) работает ниже половины цели (25 ₽/устр/сутки). Проблема системная, не в отдельных устройствах.</t>
  </si>
  <si>
    <t xml:space="preserve">🟡 Платформа 'STARLIGHT' тянет вниз: 7 ₽/устр/сутки (16 устр). Для сравнения лучшая 'PUMA' даёт 19 ₽/устр/сутки. Разобраться что не так с 'STARLIGHT'.</t>
  </si>
  <si>
    <t xml:space="preserve">🔴 Сервис 'Wa Load': бан аккаунтов 29% (9257 из 32347). Аккаунты горят — снизить интенсивность, прогрев.</t>
  </si>
  <si>
    <t xml:space="preserve">R58N40AJFLX</t>
  </si>
  <si>
    <t xml:space="preserve">R83W50PR1GJ</t>
  </si>
  <si>
    <t xml:space="preserve">R5J082480966</t>
  </si>
  <si>
    <t xml:space="preserve">R5J367319113</t>
  </si>
  <si>
    <t xml:space="preserve">R58NA0GJQGF</t>
  </si>
  <si>
    <t xml:space="preserve">R58N40KQJFV</t>
  </si>
  <si>
    <t xml:space="preserve">R94XC0AD4PZ</t>
  </si>
  <si>
    <t xml:space="preserve">R9WTA0QNRRH</t>
  </si>
  <si>
    <t xml:space="preserve">RF8N50VMRVE</t>
  </si>
  <si>
    <t xml:space="preserve">ce04171418ceb51202</t>
  </si>
  <si>
    <t xml:space="preserve">ce081718ad16691901</t>
  </si>
  <si>
    <t xml:space="preserve">ce0917191d409a0e04</t>
  </si>
  <si>
    <t xml:space="preserve">R58N22W4WDX</t>
  </si>
  <si>
    <t xml:space="preserve">R9YT51187QV</t>
  </si>
  <si>
    <t xml:space="preserve">RF8N80B3V9P</t>
  </si>
  <si>
    <t xml:space="preserve">RF8N62491GM</t>
  </si>
  <si>
    <t xml:space="preserve">ce0917193023552d02</t>
  </si>
  <si>
    <t xml:space="preserve">RZ8M60BF4SF</t>
  </si>
  <si>
    <t xml:space="preserve">R58N40ED9VB</t>
  </si>
  <si>
    <t xml:space="preserve">R9YT607H11V</t>
  </si>
  <si>
    <t xml:space="preserve">R58N40GVNYZ</t>
  </si>
  <si>
    <t xml:space="preserve">ce04171479b7083e0d</t>
  </si>
  <si>
    <t xml:space="preserve">R9HT50112WR</t>
  </si>
  <si>
    <t xml:space="preserve">R58N40GT3WX</t>
  </si>
  <si>
    <t xml:space="preserve">RF8N6249P5V</t>
  </si>
  <si>
    <t xml:space="preserve">R58N22JMFSM</t>
  </si>
  <si>
    <t xml:space="preserve">ce04171431c3a0b70c</t>
  </si>
  <si>
    <t xml:space="preserve">R9YT51177MV</t>
  </si>
  <si>
    <t xml:space="preserve">RF8R31WP8YF</t>
  </si>
  <si>
    <t xml:space="preserve">R58N212HE1H</t>
  </si>
  <si>
    <t xml:space="preserve">R8YTB18T13V</t>
  </si>
  <si>
    <t xml:space="preserve">ce081718a5d6150504</t>
  </si>
  <si>
    <t xml:space="preserve">ce071717a225bf2602</t>
  </si>
  <si>
    <t xml:space="preserve">ce041714192ba90a02</t>
  </si>
  <si>
    <t xml:space="preserve">ce11182b3a21482002</t>
  </si>
  <si>
    <t xml:space="preserve">R92W80LDV1P</t>
  </si>
  <si>
    <t xml:space="preserve">R8YTB1EQKYP</t>
  </si>
  <si>
    <t xml:space="preserve">R92TB08HPEN</t>
  </si>
  <si>
    <t xml:space="preserve">R83Y60WDLEP</t>
  </si>
  <si>
    <t xml:space="preserve">2554d1d011027ece</t>
  </si>
  <si>
    <t xml:space="preserve">ce06171663cebe1c03</t>
  </si>
  <si>
    <t xml:space="preserve">RF8R31WQG4X</t>
  </si>
  <si>
    <t xml:space="preserve">R9YT608R97R</t>
  </si>
  <si>
    <t xml:space="preserve">R8YTB18SYHP</t>
  </si>
  <si>
    <t xml:space="preserve">23eb095e1a057ece</t>
  </si>
  <si>
    <t xml:space="preserve">R8YTB18T2JF</t>
  </si>
  <si>
    <t xml:space="preserve">R83Y60WDKDK</t>
  </si>
  <si>
    <t xml:space="preserve">RZ8M50Y1B7R</t>
  </si>
  <si>
    <t xml:space="preserve">R8YTA02M6QT</t>
  </si>
  <si>
    <t xml:space="preserve">RF8R31WRP6F</t>
  </si>
  <si>
    <t xml:space="preserve">R8YTB1EQL0Y</t>
  </si>
  <si>
    <t xml:space="preserve">R58N40GWGGZ</t>
  </si>
  <si>
    <t xml:space="preserve">R58N40E9Z1L</t>
  </si>
  <si>
    <t xml:space="preserve">RF8N50M129D</t>
  </si>
  <si>
    <t xml:space="preserve">RF8R31WPATK</t>
  </si>
  <si>
    <t xml:space="preserve">R83Y7045B7J</t>
  </si>
  <si>
    <t xml:space="preserve">R92W70DDHFP</t>
  </si>
  <si>
    <t xml:space="preserve">R58N407XDFF</t>
  </si>
  <si>
    <t xml:space="preserve">R83Y60WDKKN</t>
  </si>
  <si>
    <t xml:space="preserve">R83Y7045BHW</t>
  </si>
  <si>
    <t xml:space="preserve">25c903485b1c7ece</t>
  </si>
  <si>
    <t xml:space="preserve">2b8bb71009037ece</t>
  </si>
  <si>
    <t xml:space="preserve">R58NB3CJ31L</t>
  </si>
  <si>
    <t xml:space="preserve">RF8R31WNYVY</t>
  </si>
  <si>
    <t xml:space="preserve">R9YT608R8VK</t>
  </si>
  <si>
    <t xml:space="preserve">R83Y7045JAL</t>
  </si>
  <si>
    <t xml:space="preserve">RF8R31WPGRZ</t>
  </si>
  <si>
    <t xml:space="preserve">RF8N61Z0ZZF</t>
  </si>
  <si>
    <t xml:space="preserve">R9HT800AZGL</t>
  </si>
  <si>
    <t xml:space="preserve">R58NB3YFYPW</t>
  </si>
  <si>
    <t xml:space="preserve">R58N40AJFNL</t>
  </si>
  <si>
    <t xml:space="preserve">R83Y7045C0R</t>
  </si>
  <si>
    <t xml:space="preserve">23eb23eb28057ece</t>
  </si>
  <si>
    <t xml:space="preserve">25c80579421c7ece</t>
  </si>
  <si>
    <t xml:space="preserve">R83Y7045AMP</t>
  </si>
  <si>
    <t xml:space="preserve">ce0817181bcf848d0c</t>
  </si>
  <si>
    <t xml:space="preserve">R83Y7045FHP</t>
  </si>
  <si>
    <t xml:space="preserve">257809b56a1c7ece</t>
  </si>
  <si>
    <t xml:space="preserve">ce0317137852c4ff0c</t>
  </si>
  <si>
    <t xml:space="preserve">2575d411101c7ece</t>
  </si>
  <si>
    <t xml:space="preserve">R58N205Y7QZ</t>
  </si>
  <si>
    <t xml:space="preserve">RF8R31WN51E</t>
  </si>
  <si>
    <t xml:space="preserve">R83Y7045B2H</t>
  </si>
  <si>
    <t xml:space="preserve">R58NB3CGNDN</t>
  </si>
  <si>
    <t xml:space="preserve">R83Y7045BSJ</t>
  </si>
  <si>
    <t xml:space="preserve">R83Y7045D3R</t>
  </si>
  <si>
    <t xml:space="preserve">23ed44146d0c7ece</t>
  </si>
  <si>
    <t xml:space="preserve">RF8R31WAYSX</t>
  </si>
  <si>
    <t xml:space="preserve">RF8N50ZVGYM</t>
  </si>
  <si>
    <t xml:space="preserve">23ed9300d60c7ece</t>
  </si>
  <si>
    <t xml:space="preserve">RF8R31WSM3F</t>
  </si>
  <si>
    <t xml:space="preserve">R83Y70459GV</t>
  </si>
  <si>
    <t xml:space="preserve">R58N40AMQ1L</t>
  </si>
  <si>
    <t xml:space="preserve">RF8R31WNA6B</t>
  </si>
  <si>
    <t xml:space="preserve">2b8a57b609037ece</t>
  </si>
  <si>
    <t xml:space="preserve">R58N40GVZ2R</t>
  </si>
  <si>
    <t xml:space="preserve">R83Y7045ANE</t>
  </si>
  <si>
    <t xml:space="preserve">R83Y7045AJH</t>
  </si>
  <si>
    <t xml:space="preserve">R58N20NCAHW</t>
  </si>
  <si>
    <t xml:space="preserve">241263cc540c7ece</t>
  </si>
  <si>
    <t xml:space="preserve">R58N40KNP4R</t>
  </si>
  <si>
    <t xml:space="preserve">R58N40AG3EV</t>
  </si>
  <si>
    <t xml:space="preserve">R58N40GSWCY</t>
  </si>
  <si>
    <t xml:space="preserve">R58N40KPWGA</t>
  </si>
  <si>
    <t xml:space="preserve">R58N40EDFZD</t>
  </si>
  <si>
    <t xml:space="preserve">R58N40GVMBH</t>
  </si>
  <si>
    <t xml:space="preserve">RF8N50XPQDR</t>
  </si>
  <si>
    <t xml:space="preserve">RF8R31WRMTZ</t>
  </si>
  <si>
    <t xml:space="preserve">R58N95GGT8F</t>
  </si>
  <si>
    <t xml:space="preserve">R58NB3YG8YV</t>
  </si>
  <si>
    <t xml:space="preserve">R58NA5H4Z6T</t>
  </si>
  <si>
    <t xml:space="preserve">R58N40ECNCD</t>
  </si>
  <si>
    <t xml:space="preserve">ce0917192947ac6e0c</t>
  </si>
  <si>
    <t xml:space="preserve">R58NB3PPTNB</t>
  </si>
  <si>
    <t xml:space="preserve">R58N23FLBCY</t>
  </si>
  <si>
    <t xml:space="preserve">R58N40GXBEM</t>
  </si>
  <si>
    <t xml:space="preserve">R9YT80M8DKA</t>
  </si>
  <si>
    <t xml:space="preserve">R58N95GHDAK</t>
  </si>
  <si>
    <t xml:space="preserve">R58NB3TYN8N</t>
  </si>
  <si>
    <t xml:space="preserve">R58NA4CTX8Y</t>
  </si>
  <si>
    <t xml:space="preserve">R58N40EC5SN</t>
  </si>
  <si>
    <t xml:space="preserve">R58N40X8Z4V</t>
  </si>
  <si>
    <t xml:space="preserve">R58NA0GJHBK</t>
  </si>
  <si>
    <t xml:space="preserve">R58NA0GJJ7T</t>
  </si>
  <si>
    <t xml:space="preserve">R58NB3PPVEW</t>
  </si>
  <si>
    <t xml:space="preserve">RF8N73CM97Z</t>
  </si>
  <si>
    <t xml:space="preserve">23f80ae09c0c7ece</t>
  </si>
  <si>
    <t xml:space="preserve">2575d410011c7ece</t>
  </si>
  <si>
    <t xml:space="preserve">1c91930e31047ece</t>
  </si>
  <si>
    <t xml:space="preserve">2575d40d221c7ece</t>
  </si>
  <si>
    <t xml:space="preserve">25c17b8d7d1c7ece</t>
  </si>
  <si>
    <t xml:space="preserve">Питер — персональный разбор</t>
  </si>
  <si>
    <t xml:space="preserve">12.8 суток</t>
  </si>
  <si>
    <t xml:space="preserve">🔴 31 'мёртвых' устройств (16% парка) — не работают и простаивают &gt;2 дней. Это потеря ~1550 ₽/сутки. Проверить: связь, аккаунты, переустановка.</t>
  </si>
  <si>
    <t xml:space="preserve">🔴 Больше половины парка (168 из 196) работает ниже половины цели (25 ₽/устр/сутки). Проблема системная, не в отдельных устройствах.</t>
  </si>
  <si>
    <t xml:space="preserve">🟡 Платформа 'SPB11' тянет вниз: 0 ₽/устр/сутки (11 устр). Для сравнения лучшая 'SPB1' даёт 29 ₽/устр/сутки. Разобраться что не так с 'SPB11'.</t>
  </si>
  <si>
    <t xml:space="preserve">🟡 Слабые модели устройств: a20 (0 ₽/устр), a03 (1 ₽/устр). Возможно, старое/слабое железо — рассмотреть замену или перераспределение.</t>
  </si>
  <si>
    <t xml:space="preserve">🔴 Сервис 'Wa Load': бан аккаунтов 37% (18092 из 48637). Аккаунты горят — снизить интенсивность, прогрев.</t>
  </si>
  <si>
    <t xml:space="preserve">R58N237HX7V</t>
  </si>
  <si>
    <t xml:space="preserve">R58N407Y51X</t>
  </si>
  <si>
    <t xml:space="preserve">R58N40EAP6F</t>
  </si>
  <si>
    <t xml:space="preserve">R58N40AG4NY</t>
  </si>
  <si>
    <t xml:space="preserve">R58N40EEVEF</t>
  </si>
  <si>
    <t xml:space="preserve">R58N40MJAWB</t>
  </si>
  <si>
    <t xml:space="preserve">R58N40GWS7V</t>
  </si>
  <si>
    <t xml:space="preserve">R58N40GVBXF</t>
  </si>
  <si>
    <t xml:space="preserve">R8YTC08JEGZ</t>
  </si>
  <si>
    <t xml:space="preserve">R92TA0DCCER</t>
  </si>
  <si>
    <t xml:space="preserve">R8YTB1EQL9N</t>
  </si>
  <si>
    <t xml:space="preserve">R92TB0AYNBJ</t>
  </si>
  <si>
    <t xml:space="preserve">R92TC03LVJH</t>
  </si>
  <si>
    <t xml:space="preserve">R92TC03LTSD</t>
  </si>
  <si>
    <t xml:space="preserve">R92TC01G58N</t>
  </si>
  <si>
    <t xml:space="preserve">R92TB0T3ZCR</t>
  </si>
  <si>
    <t xml:space="preserve">R92W70F89EB</t>
  </si>
  <si>
    <t xml:space="preserve">R92W70F898M</t>
  </si>
  <si>
    <t xml:space="preserve">R92TC086YFE</t>
  </si>
  <si>
    <t xml:space="preserve">R92W605MREA</t>
  </si>
  <si>
    <t xml:space="preserve">R92W605MSPR</t>
  </si>
  <si>
    <t xml:space="preserve">R92W9084GNM</t>
  </si>
  <si>
    <t xml:space="preserve">R92W70F8AWF</t>
  </si>
  <si>
    <t xml:space="preserve">R92W70FDYSE</t>
  </si>
  <si>
    <t xml:space="preserve">R92W605MQRM</t>
  </si>
  <si>
    <t xml:space="preserve">R92W605MKLJ</t>
  </si>
  <si>
    <t xml:space="preserve">R92TC03PV6K</t>
  </si>
  <si>
    <t xml:space="preserve">R92W9084RMY</t>
  </si>
  <si>
    <t xml:space="preserve">R92W9084N5P</t>
  </si>
  <si>
    <t xml:space="preserve">R92W9084NJA</t>
  </si>
  <si>
    <t xml:space="preserve">R92W9084KWK</t>
  </si>
  <si>
    <t xml:space="preserve">R92W9084MCJ</t>
  </si>
  <si>
    <t xml:space="preserve">R9DTB017HLF</t>
  </si>
  <si>
    <t xml:space="preserve">R9DW803M2GB</t>
  </si>
  <si>
    <t xml:space="preserve">R9DW803M7NP</t>
  </si>
  <si>
    <t xml:space="preserve">R9HT800BE2X</t>
  </si>
  <si>
    <t xml:space="preserve">R9AT903MXKL</t>
  </si>
  <si>
    <t xml:space="preserve">R92W9084Y8K</t>
  </si>
  <si>
    <t xml:space="preserve">R92W9084Y7A</t>
  </si>
  <si>
    <t xml:space="preserve">R92W9084XVN</t>
  </si>
  <si>
    <t xml:space="preserve">R92W9084V7W</t>
  </si>
  <si>
    <t xml:space="preserve">R92W9084WMK</t>
  </si>
  <si>
    <t xml:space="preserve">RF8N91Q3J7N</t>
  </si>
  <si>
    <t xml:space="preserve">R9YTA0WA7YF</t>
  </si>
  <si>
    <t xml:space="preserve">R9YT70ERTYR</t>
  </si>
  <si>
    <t xml:space="preserve">R9WTA0PHWPP</t>
  </si>
  <si>
    <t xml:space="preserve">R9HT709GAZH</t>
  </si>
  <si>
    <t xml:space="preserve">R9WTA0QM8XT</t>
  </si>
  <si>
    <t xml:space="preserve">R92W9084WQR</t>
  </si>
  <si>
    <t xml:space="preserve">R58N22JKB5V</t>
  </si>
  <si>
    <t xml:space="preserve">R92W70F854N</t>
  </si>
  <si>
    <t xml:space="preserve">R58N40AHXJW</t>
  </si>
  <si>
    <t xml:space="preserve">R92TB01F5GM</t>
  </si>
  <si>
    <t xml:space="preserve">R92TC03PYCJ</t>
  </si>
  <si>
    <t xml:space="preserve">R58N408CTAR</t>
  </si>
  <si>
    <t xml:space="preserve">R92TB0T3WQF</t>
  </si>
  <si>
    <t xml:space="preserve">R9DW902SPFD</t>
  </si>
  <si>
    <t xml:space="preserve">R9YT607KFEF</t>
  </si>
  <si>
    <t xml:space="preserve">R92W70FDWLE</t>
  </si>
  <si>
    <t xml:space="preserve">R92W70F89TM</t>
  </si>
  <si>
    <t xml:space="preserve">R9WTB060FNB</t>
  </si>
  <si>
    <t xml:space="preserve">R92TC03MNRB</t>
  </si>
  <si>
    <t xml:space="preserve">R92W9084TCF</t>
  </si>
  <si>
    <t xml:space="preserve">R9DTB01780V</t>
  </si>
  <si>
    <t xml:space="preserve">R92W9084JCP</t>
  </si>
  <si>
    <t xml:space="preserve">R92W9084J7K</t>
  </si>
  <si>
    <t xml:space="preserve">R92W9084GXE</t>
  </si>
  <si>
    <t xml:space="preserve">R92TC03MP1J</t>
  </si>
  <si>
    <t xml:space="preserve">R92TA15YYRH</t>
  </si>
  <si>
    <t xml:space="preserve">R92TC03MLSF</t>
  </si>
  <si>
    <t xml:space="preserve">R9DW803L8DF</t>
  </si>
  <si>
    <t xml:space="preserve">R92TC01GP0E</t>
  </si>
  <si>
    <t xml:space="preserve">R92TB0ST3NV</t>
  </si>
  <si>
    <t xml:space="preserve">R92W70F86LY</t>
  </si>
  <si>
    <t xml:space="preserve">R9DTB016E0M</t>
  </si>
  <si>
    <t xml:space="preserve">R92W9084W0X</t>
  </si>
  <si>
    <t xml:space="preserve">R92TC03PS3N</t>
  </si>
  <si>
    <t xml:space="preserve">R92W605MRFZ</t>
  </si>
  <si>
    <t xml:space="preserve">R92TC03NQYH</t>
  </si>
  <si>
    <t xml:space="preserve">R92TC03PVEX</t>
  </si>
  <si>
    <t xml:space="preserve">R92W605MQJE</t>
  </si>
  <si>
    <t xml:space="preserve">R92TB0AYMLX</t>
  </si>
  <si>
    <t xml:space="preserve">R9WTB061A5H</t>
  </si>
  <si>
    <t xml:space="preserve">R92TB00G3VP</t>
  </si>
  <si>
    <t xml:space="preserve">R92W605MKMR</t>
  </si>
  <si>
    <t xml:space="preserve">R92TC01GK0T</t>
  </si>
  <si>
    <t xml:space="preserve">R92TB0M5REY</t>
  </si>
  <si>
    <t xml:space="preserve">R92W90850EL</t>
  </si>
  <si>
    <t xml:space="preserve">R92TC03MTEE</t>
  </si>
  <si>
    <t xml:space="preserve">R92TC03MA9W</t>
  </si>
  <si>
    <t xml:space="preserve">R92TC01G4MK</t>
  </si>
  <si>
    <t xml:space="preserve">R92W9084RVK</t>
  </si>
  <si>
    <t xml:space="preserve">R9WTA0QNGRL</t>
  </si>
  <si>
    <t xml:space="preserve">R92W9084E8B</t>
  </si>
  <si>
    <t xml:space="preserve">R92TC03PR8M</t>
  </si>
  <si>
    <t xml:space="preserve">R92W80LE2HY</t>
  </si>
  <si>
    <t xml:space="preserve">R92TC01GB3P</t>
  </si>
  <si>
    <t xml:space="preserve">R92TC03LVNW</t>
  </si>
  <si>
    <t xml:space="preserve">R92TC03LTTZ</t>
  </si>
  <si>
    <t xml:space="preserve">R9DW803L6ML</t>
  </si>
  <si>
    <t xml:space="preserve">R92TC03MS2X</t>
  </si>
  <si>
    <t xml:space="preserve">R92TA0DCP6Z</t>
  </si>
  <si>
    <t xml:space="preserve">R92TB01EZPZ</t>
  </si>
  <si>
    <t xml:space="preserve">R92TC03PS5B</t>
  </si>
  <si>
    <t xml:space="preserve">R9DTB017H6L</t>
  </si>
  <si>
    <t xml:space="preserve">R92TB0T3YQJ</t>
  </si>
  <si>
    <t xml:space="preserve">R92W9084HPK</t>
  </si>
  <si>
    <t xml:space="preserve">R92TC03MY2F</t>
  </si>
  <si>
    <t xml:space="preserve">R92W9084SKT</t>
  </si>
  <si>
    <t xml:space="preserve">R92W9084KJW</t>
  </si>
  <si>
    <t xml:space="preserve">R92TB01FG1B</t>
  </si>
  <si>
    <t xml:space="preserve">R92TB08HXXK</t>
  </si>
  <si>
    <t xml:space="preserve">R92W9084FMN</t>
  </si>
  <si>
    <t xml:space="preserve">R9DW9035Q2X</t>
  </si>
  <si>
    <t xml:space="preserve">R92TC08749D</t>
  </si>
  <si>
    <t xml:space="preserve">R92W9084TVB</t>
  </si>
  <si>
    <t xml:space="preserve">R92TC03PSAT</t>
  </si>
  <si>
    <t xml:space="preserve">R92TB0YMVQJ</t>
  </si>
  <si>
    <t xml:space="preserve">R92W605MT7R</t>
  </si>
  <si>
    <t xml:space="preserve">R92W9084HHB</t>
  </si>
  <si>
    <t xml:space="preserve">R92W70FDTEE</t>
  </si>
  <si>
    <t xml:space="preserve">R92W605MTBY</t>
  </si>
  <si>
    <t xml:space="preserve">R92W9084ECX</t>
  </si>
  <si>
    <t xml:space="preserve">R92TC03MRDN</t>
  </si>
  <si>
    <t xml:space="preserve">R92TC03PS4A</t>
  </si>
  <si>
    <t xml:space="preserve">R92TC03PXFN</t>
  </si>
  <si>
    <t xml:space="preserve">R92W9084T4W</t>
  </si>
  <si>
    <t xml:space="preserve">R92TC03MSEV</t>
  </si>
  <si>
    <t xml:space="preserve">R92W9084T1P</t>
  </si>
  <si>
    <t xml:space="preserve">R92TB0E2BXV</t>
  </si>
  <si>
    <t xml:space="preserve">R9WTA0QT75H</t>
  </si>
  <si>
    <t xml:space="preserve">R92TC03PYEP</t>
  </si>
  <si>
    <t xml:space="preserve">R92W9084K4B</t>
  </si>
  <si>
    <t xml:space="preserve">R9DW803L57Z</t>
  </si>
  <si>
    <t xml:space="preserve">R92TB0AYPDA</t>
  </si>
  <si>
    <t xml:space="preserve">R92TC03MYBH</t>
  </si>
  <si>
    <t xml:space="preserve">R92TC03MX6K</t>
  </si>
  <si>
    <t xml:space="preserve">R9DW803MCFJ</t>
  </si>
  <si>
    <t xml:space="preserve">R92TB0E29LT</t>
  </si>
  <si>
    <t xml:space="preserve">R92TB00FQ1K</t>
  </si>
  <si>
    <t xml:space="preserve">R92W605MQMY</t>
  </si>
  <si>
    <t xml:space="preserve">R92TB00FVGE</t>
  </si>
  <si>
    <t xml:space="preserve">R92W70F89BX</t>
  </si>
  <si>
    <t xml:space="preserve">R92TC03MR7J</t>
  </si>
  <si>
    <t xml:space="preserve">R9DW803MARZ</t>
  </si>
  <si>
    <t xml:space="preserve">R92TB0M5N5Y</t>
  </si>
  <si>
    <t xml:space="preserve">R92W9084SSV</t>
  </si>
  <si>
    <t xml:space="preserve">R92W70FDYRP</t>
  </si>
  <si>
    <t xml:space="preserve">R92W605MMZK</t>
  </si>
  <si>
    <t xml:space="preserve">R92TB0BS95B</t>
  </si>
  <si>
    <t xml:space="preserve">R9WTA0QN6JF</t>
  </si>
  <si>
    <t xml:space="preserve">R92TC03PS6W</t>
  </si>
  <si>
    <t xml:space="preserve">R92W9084TBJ</t>
  </si>
  <si>
    <t xml:space="preserve">R92TB0AYN2N</t>
  </si>
  <si>
    <t xml:space="preserve">R92W605MTHF</t>
  </si>
  <si>
    <t xml:space="preserve">R92TC03MWQH</t>
  </si>
  <si>
    <t xml:space="preserve">R92TC03MXXB</t>
  </si>
  <si>
    <t xml:space="preserve">R92TC03LHGZ</t>
  </si>
  <si>
    <t xml:space="preserve">R9WTB061ADN</t>
  </si>
  <si>
    <t xml:space="preserve">R92W9084XNX</t>
  </si>
  <si>
    <t xml:space="preserve">R9WTB05NFFV</t>
  </si>
  <si>
    <t xml:space="preserve">R92TC03MTGK</t>
  </si>
  <si>
    <t xml:space="preserve">R92W605MJFL</t>
  </si>
  <si>
    <t xml:space="preserve">R92TC01GJVN</t>
  </si>
  <si>
    <t xml:space="preserve">R92W70FDW8T</t>
  </si>
  <si>
    <t xml:space="preserve">R92W70FDYNH</t>
  </si>
  <si>
    <t xml:space="preserve">R92W70F899T</t>
  </si>
  <si>
    <t xml:space="preserve">R92TB08HVXL</t>
  </si>
  <si>
    <t xml:space="preserve">R92TC01G62D</t>
  </si>
  <si>
    <t xml:space="preserve">R9WTA0QN4NZ</t>
  </si>
  <si>
    <t xml:space="preserve">R92W9084HYW</t>
  </si>
  <si>
    <t xml:space="preserve">R9AT903LX0N</t>
  </si>
  <si>
    <t xml:space="preserve">R92W9084NTW</t>
  </si>
  <si>
    <t xml:space="preserve">R92W9084XGD</t>
  </si>
  <si>
    <t xml:space="preserve">R92TC03PR7T</t>
  </si>
  <si>
    <t xml:space="preserve">R92TC03PS7R</t>
  </si>
  <si>
    <t xml:space="preserve">R92W9084XJB</t>
  </si>
  <si>
    <t xml:space="preserve">R92W605MSCM</t>
  </si>
  <si>
    <t xml:space="preserve">R9DW803M7QD</t>
  </si>
  <si>
    <t xml:space="preserve">R92W9084J0Y</t>
  </si>
  <si>
    <t xml:space="preserve">R9WTA0QN5FF</t>
  </si>
  <si>
    <t xml:space="preserve">R92W9084YZP</t>
  </si>
  <si>
    <t xml:space="preserve">R92W9084GKA</t>
  </si>
  <si>
    <t xml:space="preserve">R9WTA0QNFCD</t>
  </si>
  <si>
    <t xml:space="preserve">R92TC049S1H</t>
  </si>
  <si>
    <t xml:space="preserve">R9DW800WGBX</t>
  </si>
  <si>
    <t xml:space="preserve">R92W9084JFW</t>
  </si>
  <si>
    <t xml:space="preserve">R9DW803LF1Y</t>
  </si>
  <si>
    <t xml:space="preserve">R9DW803M79N</t>
  </si>
  <si>
    <t xml:space="preserve">R92W70FDV2D</t>
  </si>
  <si>
    <t xml:space="preserve">R92W9084QXP</t>
  </si>
  <si>
    <t xml:space="preserve">R92W9084RSX</t>
  </si>
  <si>
    <t xml:space="preserve">R92TC03PV8H</t>
  </si>
  <si>
    <t xml:space="preserve">R92TB0E1YYD</t>
  </si>
  <si>
    <t xml:space="preserve">R9DW803M7SX</t>
  </si>
  <si>
    <t xml:space="preserve">R92W70F8ACT</t>
  </si>
  <si>
    <t xml:space="preserve">Насыров — персональный разбор</t>
  </si>
  <si>
    <t xml:space="preserve">11.8 суток</t>
  </si>
  <si>
    <t xml:space="preserve">🔴 1 'мёртвых' устройств (2% парка) — не работают и простаивают &gt;2 дней. Это потеря ~50 ₽/сутки. Проверить: связь, аккаунты, переустановка.</t>
  </si>
  <si>
    <t xml:space="preserve">🔴 Больше половины парка (55 из 59) работает ниже половины цели (25 ₽/устр/сутки). Проблема системная, не в отдельных устройствах.</t>
  </si>
  <si>
    <t xml:space="preserve">🟡 Платформа 'RENTGEN' тянет вниз: 12 ₽/устр/сутки (17 устр). Для сравнения лучшая 'HANSOLO' даёт 19 ₽/устр/сутки. Разобраться что не так с 'RENTGEN'.</t>
  </si>
  <si>
    <t xml:space="preserve">🔴 Сервис 'Wa Load': бан аккаунтов 29% (6082 из 20977). Аккаунты горят — снизить интенсивность, прогрев.</t>
  </si>
  <si>
    <t xml:space="preserve">R8YTB18T3JZ</t>
  </si>
  <si>
    <t xml:space="preserve">R5J377536721</t>
  </si>
  <si>
    <t xml:space="preserve">R5J179240937</t>
  </si>
  <si>
    <t xml:space="preserve">RZ8M810BSZZ</t>
  </si>
  <si>
    <t xml:space="preserve">R92W907T7GV</t>
  </si>
  <si>
    <t xml:space="preserve">RZ8MA0LGDQM</t>
  </si>
  <si>
    <t xml:space="preserve">R9HT5046KCD</t>
  </si>
  <si>
    <t xml:space="preserve">RZ8M5460VWB</t>
  </si>
  <si>
    <t xml:space="preserve">RZ8M71KFVVR</t>
  </si>
  <si>
    <t xml:space="preserve">R8YW70Z99TX</t>
  </si>
  <si>
    <t xml:space="preserve">R58N231X8AY</t>
  </si>
  <si>
    <t xml:space="preserve">R58N231N2LB</t>
  </si>
  <si>
    <t xml:space="preserve">R92W908529H</t>
  </si>
  <si>
    <t xml:space="preserve">R92W6015MHD</t>
  </si>
  <si>
    <t xml:space="preserve">R58N820LFVL</t>
  </si>
  <si>
    <t xml:space="preserve">R58NB3YG4LD</t>
  </si>
  <si>
    <t xml:space="preserve">R92W9084X8R</t>
  </si>
  <si>
    <t xml:space="preserve">RF8R321CEKZ</t>
  </si>
  <si>
    <t xml:space="preserve">R92TB0HT4GX</t>
  </si>
  <si>
    <t xml:space="preserve">R92W70FDWCW</t>
  </si>
  <si>
    <t xml:space="preserve">R92W70DZXYN</t>
  </si>
  <si>
    <t xml:space="preserve">R92W9084XZW</t>
  </si>
  <si>
    <t xml:space="preserve">R8YTC08KCTY</t>
  </si>
  <si>
    <t xml:space="preserve">R92W80LE6ZM</t>
  </si>
  <si>
    <t xml:space="preserve">R58N40AMLYT</t>
  </si>
  <si>
    <t xml:space="preserve">R58N407X6RJ</t>
  </si>
  <si>
    <t xml:space="preserve">R58NB3TY5SZ</t>
  </si>
  <si>
    <t xml:space="preserve">RF8R31WN0VP</t>
  </si>
  <si>
    <t xml:space="preserve">R92TC06KL1N</t>
  </si>
  <si>
    <t xml:space="preserve">R8YTC0KJ07Z</t>
  </si>
  <si>
    <t xml:space="preserve">R9ATA018Q2B</t>
  </si>
  <si>
    <t xml:space="preserve">R9YT5101T1J</t>
  </si>
  <si>
    <t xml:space="preserve">RZ8MB25AX0E</t>
  </si>
  <si>
    <t xml:space="preserve">R92TB0AYN3L</t>
  </si>
  <si>
    <t xml:space="preserve">R9DW9035NFX</t>
  </si>
  <si>
    <t xml:space="preserve">R8YTB1CTDGP</t>
  </si>
  <si>
    <t xml:space="preserve">RZ8MA2AZLHF</t>
  </si>
  <si>
    <t xml:space="preserve">RZ8M53AMPHK</t>
  </si>
  <si>
    <t xml:space="preserve">R92W9084ZAA</t>
  </si>
  <si>
    <t xml:space="preserve">R9DW901JSNX</t>
  </si>
  <si>
    <t xml:space="preserve">R92W70E1D9E</t>
  </si>
  <si>
    <t xml:space="preserve">R92W604NM4B</t>
  </si>
  <si>
    <t xml:space="preserve">R8YTA02L40R</t>
  </si>
  <si>
    <t xml:space="preserve">R92W9084PGB</t>
  </si>
  <si>
    <t xml:space="preserve">R92W70DZLAD</t>
  </si>
  <si>
    <t xml:space="preserve">R8YTB1EQGPM</t>
  </si>
  <si>
    <t xml:space="preserve">R9DW803M7RV</t>
  </si>
  <si>
    <t xml:space="preserve">R8YTC09TPZM</t>
  </si>
  <si>
    <t xml:space="preserve">R8YW70X9C5Z</t>
  </si>
  <si>
    <t xml:space="preserve">R92W5095DFW</t>
  </si>
  <si>
    <t xml:space="preserve">R92W70DZCCW</t>
  </si>
  <si>
    <t xml:space="preserve">R8YTB18SXVL</t>
  </si>
  <si>
    <t xml:space="preserve">R83W50PREHJ</t>
  </si>
  <si>
    <t xml:space="preserve">R58NB3TXH5F</t>
  </si>
  <si>
    <t xml:space="preserve">R92W50957SR</t>
  </si>
  <si>
    <t xml:space="preserve">R92TC06KEXF</t>
  </si>
  <si>
    <t xml:space="preserve">R92TB08HSCA</t>
  </si>
  <si>
    <t xml:space="preserve">R9DW803FY7T</t>
  </si>
  <si>
    <t xml:space="preserve">R9YT608RF5J</t>
  </si>
  <si>
    <t xml:space="preserve">Бенз — персональный разбор</t>
  </si>
  <si>
    <t xml:space="preserve">🔴 8 'мёртвых' устройств (13% парка) — не работают и простаивают &gt;2 дней. Это потеря ~400 ₽/сутки. Проверить: связь, аккаунты, переустановка.</t>
  </si>
  <si>
    <t xml:space="preserve">🔴 Больше половины парка (63 из 63) работает ниже половины цели (25 ₽/устр/сутки). Проблема системная, не в отдельных устройствах.</t>
  </si>
  <si>
    <t xml:space="preserve">🟡 Платформа 'OBIVAN' тянет вниз: 10 ₽/устр/сутки (16 устр). Для сравнения лучшая 'KUSKO' даёт 14 ₽/устр/сутки. Разобраться что не так с 'OBIVAN'.</t>
  </si>
  <si>
    <t xml:space="preserve">🟡 Слабые модели устройств: p3s (0 ₽/устр), a21s (151 ₽/устр). Возможно, старое/слабое железо — рассмотреть замену или перераспределение.</t>
  </si>
  <si>
    <t xml:space="preserve">🟡 Сервис 'Wa Load': доставка только 70%. Часть рассылки не доходит — проверить качество номеров/аккаунтов.</t>
  </si>
  <si>
    <t xml:space="preserve">192.168.18.12:5555</t>
  </si>
  <si>
    <t xml:space="preserve">192.168.18.13:5555</t>
  </si>
  <si>
    <t xml:space="preserve">192.168.18.14:5555</t>
  </si>
  <si>
    <t xml:space="preserve">192.168.18.51:5555</t>
  </si>
  <si>
    <t xml:space="preserve">192.168.18.58:5555</t>
  </si>
  <si>
    <t xml:space="preserve">192.168.18.60:5555</t>
  </si>
  <si>
    <t xml:space="preserve">nan</t>
  </si>
  <si>
    <t xml:space="preserve">192.168.18.55:5555</t>
  </si>
  <si>
    <t xml:space="preserve">R5J865115380</t>
  </si>
  <si>
    <t xml:space="preserve">R58NB3CJ38A</t>
  </si>
  <si>
    <t xml:space="preserve">192.168.18.57:5555</t>
  </si>
  <si>
    <t xml:space="preserve">192.168.18.61:5555</t>
  </si>
  <si>
    <t xml:space="preserve">192.168.18.24:5555</t>
  </si>
  <si>
    <t xml:space="preserve">192.168.18.25:5555</t>
  </si>
  <si>
    <t xml:space="preserve">192.168.18.48:5555</t>
  </si>
  <si>
    <t xml:space="preserve">192.168.18.53:5555</t>
  </si>
  <si>
    <t xml:space="preserve">R92TC03MNZF</t>
  </si>
  <si>
    <t xml:space="preserve">RF8R31WTWDN</t>
  </si>
  <si>
    <t xml:space="preserve">R58NB3TYDXH</t>
  </si>
  <si>
    <t xml:space="preserve">RF8N91CH8BB</t>
  </si>
  <si>
    <t xml:space="preserve">RF8R31WATSM</t>
  </si>
  <si>
    <t xml:space="preserve">R58NB3CGPYF</t>
  </si>
  <si>
    <t xml:space="preserve">RF8N91Q28ZP</t>
  </si>
  <si>
    <t xml:space="preserve">R58NB3CGT6B</t>
  </si>
  <si>
    <t xml:space="preserve">2575d410c11c7ece</t>
  </si>
  <si>
    <t xml:space="preserve">R58NB3VSV3A</t>
  </si>
  <si>
    <t xml:space="preserve">RF8R31WQC4M</t>
  </si>
  <si>
    <t xml:space="preserve">RF8R31WNRVA</t>
  </si>
  <si>
    <t xml:space="preserve">RF8N918Z6CZ</t>
  </si>
  <si>
    <t xml:space="preserve">23eb3ad92b057ece</t>
  </si>
  <si>
    <t xml:space="preserve">255526e40b027ece</t>
  </si>
  <si>
    <t xml:space="preserve">RF8R31WRZPK</t>
  </si>
  <si>
    <t xml:space="preserve">2a12f19505017ece</t>
  </si>
  <si>
    <t xml:space="preserve">23ed16231e057ece</t>
  </si>
  <si>
    <t xml:space="preserve">23ed1c961a057ece</t>
  </si>
  <si>
    <t xml:space="preserve">23eae0081a057ece</t>
  </si>
  <si>
    <t xml:space="preserve">2b83964535057ece</t>
  </si>
  <si>
    <t xml:space="preserve">R58NB3TZNLJ</t>
  </si>
  <si>
    <t xml:space="preserve">24130aa8330c7ece</t>
  </si>
  <si>
    <t xml:space="preserve">257809b8f81c7ece</t>
  </si>
  <si>
    <t xml:space="preserve">23ed9304830c7ece</t>
  </si>
  <si>
    <t xml:space="preserve">257809bce21c7ece</t>
  </si>
  <si>
    <t xml:space="preserve">1cb3b7e89e0d7ece</t>
  </si>
  <si>
    <t xml:space="preserve">23eb1d3622057ece</t>
  </si>
  <si>
    <t xml:space="preserve">23eb23ac29057ece</t>
  </si>
  <si>
    <t xml:space="preserve">23ed0f4911057ece</t>
  </si>
  <si>
    <t xml:space="preserve">23f80ad0d40c7ece</t>
  </si>
  <si>
    <t xml:space="preserve">2575d414d61c7ece</t>
  </si>
  <si>
    <t xml:space="preserve">23ed0f6e28057ece</t>
  </si>
  <si>
    <t xml:space="preserve">25c90348441c7ece</t>
  </si>
  <si>
    <t xml:space="preserve">21f5b09923037ece</t>
  </si>
  <si>
    <t xml:space="preserve">23ed1c960c057ece</t>
  </si>
  <si>
    <t xml:space="preserve">24126a18ee0c7ece</t>
  </si>
  <si>
    <t xml:space="preserve">2b8a58330c037ece</t>
  </si>
  <si>
    <t xml:space="preserve">23ed1c8914057ece</t>
  </si>
  <si>
    <t xml:space="preserve">23ed0f9f31057ece</t>
  </si>
  <si>
    <t xml:space="preserve">2575d4103d1c7ece</t>
  </si>
  <si>
    <t xml:space="preserve">2575d410fb1c7ece</t>
  </si>
  <si>
    <t xml:space="preserve">2575b0d8701c7ece</t>
  </si>
  <si>
    <t xml:space="preserve">2b8a57ba10037ece</t>
  </si>
  <si>
    <t xml:space="preserve">23ed08aa29057ece</t>
  </si>
  <si>
    <t xml:space="preserve">23ed905ca80c7ece</t>
  </si>
  <si>
    <t xml:space="preserve">5452544e59433498</t>
  </si>
  <si>
    <t xml:space="preserve">25c95ddda91c7ece</t>
  </si>
  <si>
    <t xml:space="preserve">Серега — персональный разбор</t>
  </si>
  <si>
    <t xml:space="preserve">12.6 суток</t>
  </si>
  <si>
    <t xml:space="preserve">🔴 8 'мёртвых' устройств (15% парка) — не работают и простаивают &gt;2 дней. Это потеря ~400 ₽/сутки. Проверить: связь, аккаунты, переустановка.</t>
  </si>
  <si>
    <t xml:space="preserve">🔴 Больше половины парка (53 из 53) работает ниже половины цели (25 ₽/устр/сутки). Проблема системная, не в отдельных устройствах.</t>
  </si>
  <si>
    <t xml:space="preserve">🟡 Платформа 'OPTIMUS' тянет вниз: 2 ₽/устр/сутки (13 устр). Для сравнения лучшая 'BABAI' даёт 13 ₽/устр/сутки. Разобраться что не так с 'OPTIMUS'.</t>
  </si>
  <si>
    <t xml:space="preserve">🟡 Слабые модели устройств: a05m (31 ₽/устр), a21s (37 ₽/устр). Возможно, старое/слабое железо — рассмотреть замену или перераспределение.</t>
  </si>
  <si>
    <t xml:space="preserve">R58NB3CGQ7M</t>
  </si>
  <si>
    <t xml:space="preserve">R9HT50112KW</t>
  </si>
  <si>
    <t xml:space="preserve">R94XC03P3BL</t>
  </si>
  <si>
    <t xml:space="preserve">R58N231SKTH</t>
  </si>
  <si>
    <t xml:space="preserve">R92W9084WGV</t>
  </si>
  <si>
    <t xml:space="preserve">R9YT605690X</t>
  </si>
  <si>
    <t xml:space="preserve">RF8N50R1NLB</t>
  </si>
  <si>
    <t xml:space="preserve">R9WWC0LAHTJ</t>
  </si>
  <si>
    <t xml:space="preserve">R92X70FWG2D</t>
  </si>
  <si>
    <t xml:space="preserve">R9WX4004A2T</t>
  </si>
  <si>
    <t xml:space="preserve">R9WX10MKQPD</t>
  </si>
  <si>
    <t xml:space="preserve">R9WX4004FVV</t>
  </si>
  <si>
    <t xml:space="preserve">RF8N61YZ9ET</t>
  </si>
  <si>
    <t xml:space="preserve">R9RYA06HTGK</t>
  </si>
  <si>
    <t xml:space="preserve">R94XC0DH5XJ</t>
  </si>
  <si>
    <t xml:space="preserve">R9HT50476NT</t>
  </si>
  <si>
    <t xml:space="preserve">R92Y10LZEWN</t>
  </si>
  <si>
    <t xml:space="preserve">R9HT5046JNV</t>
  </si>
  <si>
    <t xml:space="preserve">R9YT511CB0K</t>
  </si>
  <si>
    <t xml:space="preserve">R58NB3PQ3BE</t>
  </si>
  <si>
    <t xml:space="preserve">R9YT519GHAR</t>
  </si>
  <si>
    <t xml:space="preserve">R58N40AMDJK</t>
  </si>
  <si>
    <t xml:space="preserve">R58N40GVCSJ</t>
  </si>
  <si>
    <t xml:space="preserve">R58N404QFBB</t>
  </si>
  <si>
    <t xml:space="preserve">R58N20WJBYZ</t>
  </si>
  <si>
    <t xml:space="preserve">R9YT60T34GZ</t>
  </si>
  <si>
    <t xml:space="preserve">R58N40X8N8W</t>
  </si>
  <si>
    <t xml:space="preserve">R9YT511CN4P</t>
  </si>
  <si>
    <t xml:space="preserve">R9HT503YW2E</t>
  </si>
  <si>
    <t xml:space="preserve">R9HT5047AXH</t>
  </si>
  <si>
    <t xml:space="preserve">R58N40EC2CZ</t>
  </si>
  <si>
    <t xml:space="preserve">RF8N918Z5WT</t>
  </si>
  <si>
    <t xml:space="preserve">RF8R31WR6ZE</t>
  </si>
  <si>
    <t xml:space="preserve">R58NA0GJEPX</t>
  </si>
  <si>
    <t xml:space="preserve">R9HT800BKDP</t>
  </si>
  <si>
    <t xml:space="preserve">R9YRA0H13CD</t>
  </si>
  <si>
    <t xml:space="preserve">R58N40AJY3P</t>
  </si>
  <si>
    <t xml:space="preserve">R9HT501134X</t>
  </si>
  <si>
    <t xml:space="preserve">R58N40GSDBF</t>
  </si>
  <si>
    <t xml:space="preserve">R58N40MJDHE</t>
  </si>
  <si>
    <t xml:space="preserve">R58N22W7PDK</t>
  </si>
  <si>
    <t xml:space="preserve">R58N40ECK9L</t>
  </si>
  <si>
    <t xml:space="preserve">R58N404R6PE</t>
  </si>
  <si>
    <t xml:space="preserve">R58N40P7K8E</t>
  </si>
  <si>
    <t xml:space="preserve">R9HT500H54V</t>
  </si>
  <si>
    <t xml:space="preserve">R58N40AM4BD</t>
  </si>
  <si>
    <t xml:space="preserve">Неизвестно — персональный разбор</t>
  </si>
  <si>
    <t xml:space="preserve">10.9 суток</t>
  </si>
  <si>
    <t xml:space="preserve">🔴 6 'мёртвых' устройств (22% парка) — не работают и простаивают &gt;2 дней. Это потеря ~300 ₽/сутки. Проверить: связь, аккаунты, переустановка.</t>
  </si>
  <si>
    <t xml:space="preserve">🔴 Больше половины парка (27 из 27) работает ниже половины цели (25 ₽/устр/сутки). Проблема системная, не в отдельных устройствах.</t>
  </si>
  <si>
    <t xml:space="preserve">🟡 Слабые модели устройств: SM-G781B (7 ₽/устр), SM-A105F (10 ₽/устр). Возможно, старое/слабое железо — рассмотреть замену или перераспределение.</t>
  </si>
  <si>
    <t xml:space="preserve">148ec24f-e1be-47b4-b990-7c2b05626454</t>
  </si>
  <si>
    <t xml:space="preserve">33804c62-0981-4138-99ce-4362502e0e23</t>
  </si>
  <si>
    <t xml:space="preserve">4b641ebd-d665-4b79-a13f-4c3d9ab7e63a</t>
  </si>
  <si>
    <t xml:space="preserve">a16ef972-e956-4c14-af0f-a714ad544626</t>
  </si>
  <si>
    <t xml:space="preserve">R9YT607K2ZF</t>
  </si>
  <si>
    <t xml:space="preserve">e9a1714d-29a6-4de3-bc8b-71ae5a95ca5f</t>
  </si>
  <si>
    <t xml:space="preserve">5ba417eb-ac4c-4392-9817-f863519c8501</t>
  </si>
  <si>
    <t xml:space="preserve">cd92dab3-ea77-4105-bd25-b048e30caf29</t>
  </si>
  <si>
    <t xml:space="preserve">70a0596b-43c0-48e3-b046-c2989328e10a</t>
  </si>
  <si>
    <t xml:space="preserve">1384d48a-9605-43ef-91fc-7be6493be426</t>
  </si>
  <si>
    <t xml:space="preserve">cfd1e624-ebbb-41b2-8c8e-7c5b50ba4ef2</t>
  </si>
  <si>
    <t xml:space="preserve">b991222f-dc8a-4304-b25b-977fbcf5d8a4</t>
  </si>
  <si>
    <t xml:space="preserve">fd251818-8007-4696-97ba-7796ce48ed83</t>
  </si>
  <si>
    <t xml:space="preserve">e29910e1-c239-4b70-b2b8-a9179cadbc0d</t>
  </si>
  <si>
    <t xml:space="preserve">6c68f8fe-d53e-439a-a168-e44dabc625c1</t>
  </si>
  <si>
    <t xml:space="preserve">e60f5819-19f7-45c3-8bb6-eb9c844b3abe</t>
  </si>
  <si>
    <t xml:space="preserve">96606c80-b094-48c0-8590-7d0aa2f2a8ac</t>
  </si>
  <si>
    <t xml:space="preserve">a3697be3-64b8-4e2c-83dc-890a0c8527ec</t>
  </si>
  <si>
    <t xml:space="preserve">f2eee21c-8f94-4282-9e1e-241737270955</t>
  </si>
  <si>
    <t xml:space="preserve">1653d02d-3844-499f-a65e-829d01c2b784</t>
  </si>
  <si>
    <t xml:space="preserve">8a4999e8-63c8-4de4-930a-2b5938d4eba3</t>
  </si>
  <si>
    <t xml:space="preserve">48f1bf5a-df56-4c8f-b01a-e7dcd4c80f23</t>
  </si>
  <si>
    <t xml:space="preserve">55ca4033-e282-4630-a172-525249716d0a</t>
  </si>
  <si>
    <t xml:space="preserve">40645414-87f4-4ed0-85b3-9ef54c9c2b11</t>
  </si>
  <si>
    <t xml:space="preserve">b1e1b6b8-d17c-40fd-a1dd-47f7d5e3e92b</t>
  </si>
  <si>
    <t xml:space="preserve">d8ea0e49-2053-4a16-9379-04c6ec23c3f5</t>
  </si>
  <si>
    <t xml:space="preserve">b209c4a4-dd41-49b3-a774-b560b7c8e3f4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</si>
</sst>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₽&quot;"/>
    <numFmt numFmtId="166" formatCode="0.0\%"/>
    <numFmt numFmtId="167" formatCode="#,##0"/>
    <numFmt numFmtId="168" formatCode="0.00"/>
    <numFmt numFmtId="169" formatCode="\+#,##0.00&quot; ₽&quot;;\-#,##0.00&quot; ₽&quot;;0.00&quot; ₽&quot;"/>
    <numFmt numFmtId="170" formatCode="0.0%"/>
    <numFmt numFmtId="171" formatCode="0.0"/>
    <numFmt numFmtId="172" formatCode="0.00%"/>
    <numFmt numFmtId="173" formatCode="#,##0.0&quot; ₽&quot;"/>
    <numFmt numFmtId="174" formatCode="#,##0&quot; ₽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C00000"/>
        <bgColor rgb="FF9C000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FF2CC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1" t="s">
        <v>0</v>
      </c>
      <c r="B1" s="1"/>
    </row>
    <row r="3" customFormat="false" ht="21.75" hidden="false" customHeight="true" outlineLevel="0" collapsed="false">
      <c r="A3" s="2" t="s">
        <v>1</v>
      </c>
      <c r="B3" s="3"/>
    </row>
    <row r="4" customFormat="false" ht="21.75" hidden="false" customHeight="true" outlineLevel="0" collapsed="false">
      <c r="A4" s="4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3" t="s">
        <v>5</v>
      </c>
    </row>
    <row r="6" customFormat="false" ht="21.75" hidden="false" customHeight="true" outlineLevel="0" collapsed="false">
      <c r="A6" s="3" t="s">
        <v>6</v>
      </c>
      <c r="B6" s="3" t="s">
        <v>7</v>
      </c>
    </row>
    <row r="7" customFormat="false" ht="21.75" hidden="false" customHeight="true" outlineLevel="0" collapsed="false">
      <c r="A7" s="3"/>
      <c r="B7" s="3"/>
    </row>
    <row r="8" customFormat="false" ht="21.75" hidden="false" customHeight="true" outlineLevel="0" collapsed="false">
      <c r="A8" s="5" t="s">
        <v>8</v>
      </c>
      <c r="B8" s="3" t="s">
        <v>9</v>
      </c>
    </row>
    <row r="9" customFormat="false" ht="21.75" hidden="false" customHeight="true" outlineLevel="0" collapsed="false">
      <c r="A9" s="5" t="s">
        <v>10</v>
      </c>
      <c r="B9" s="3" t="s">
        <v>11</v>
      </c>
    </row>
    <row r="10" customFormat="false" ht="21.75" hidden="false" customHeight="true" outlineLevel="0" collapsed="false">
      <c r="A10" s="3" t="s">
        <v>12</v>
      </c>
      <c r="B10" s="3" t="s">
        <v>13</v>
      </c>
    </row>
    <row r="11" customFormat="false" ht="21.75" hidden="false" customHeight="true" outlineLevel="0" collapsed="false">
      <c r="A11" s="3" t="s">
        <v>14</v>
      </c>
      <c r="B11" s="3" t="s">
        <v>15</v>
      </c>
    </row>
    <row r="12" customFormat="false" ht="21.75" hidden="false" customHeight="true" outlineLevel="0" collapsed="false">
      <c r="A12" s="3" t="s">
        <v>16</v>
      </c>
      <c r="B12" s="3" t="s">
        <v>17</v>
      </c>
    </row>
    <row r="13" customFormat="false" ht="21.75" hidden="false" customHeight="true" outlineLevel="0" collapsed="false">
      <c r="A13" s="3" t="s">
        <v>18</v>
      </c>
      <c r="B13" s="3" t="s">
        <v>19</v>
      </c>
    </row>
    <row r="14" customFormat="false" ht="21.75" hidden="false" customHeight="true" outlineLevel="0" collapsed="false">
      <c r="A14" s="3" t="s">
        <v>20</v>
      </c>
      <c r="B14" s="3" t="s">
        <v>21</v>
      </c>
    </row>
    <row r="15" customFormat="false" ht="21.75" hidden="false" customHeight="true" outlineLevel="0" collapsed="false">
      <c r="A15" s="3"/>
      <c r="B15" s="3"/>
    </row>
    <row r="16" customFormat="false" ht="21.75" hidden="false" customHeight="true" outlineLevel="0" collapsed="false">
      <c r="A16" s="2" t="s">
        <v>22</v>
      </c>
      <c r="B16" s="3"/>
    </row>
    <row r="17" customFormat="false" ht="21.75" hidden="false" customHeight="true" outlineLevel="0" collapsed="false">
      <c r="A17" s="3" t="s">
        <v>23</v>
      </c>
      <c r="B17" s="3" t="s">
        <v>24</v>
      </c>
    </row>
    <row r="18" customFormat="false" ht="21.75" hidden="false" customHeight="true" outlineLevel="0" collapsed="false">
      <c r="A18" s="3" t="s">
        <v>25</v>
      </c>
      <c r="B18" s="3" t="s">
        <v>26</v>
      </c>
    </row>
    <row r="19" customFormat="false" ht="21.75" hidden="false" customHeight="true" outlineLevel="0" collapsed="false">
      <c r="A19" s="3" t="s">
        <v>27</v>
      </c>
      <c r="B19" s="3" t="s">
        <v>28</v>
      </c>
    </row>
    <row r="20" customFormat="false" ht="21.75" hidden="false" customHeight="true" outlineLevel="0" collapsed="false">
      <c r="A20" s="3" t="s">
        <v>29</v>
      </c>
      <c r="B20" s="3" t="s">
        <v>30</v>
      </c>
    </row>
    <row r="21" customFormat="false" ht="21.75" hidden="false" customHeight="true" outlineLevel="0" collapsed="false">
      <c r="A21" s="3" t="s">
        <v>31</v>
      </c>
      <c r="B21" s="3" t="s">
        <v>11</v>
      </c>
    </row>
    <row r="22" customFormat="false" ht="21.75" hidden="false" customHeight="true" outlineLevel="0" collapsed="false">
      <c r="A22" s="3" t="s">
        <v>32</v>
      </c>
      <c r="B22" s="3" t="s">
        <v>33</v>
      </c>
    </row>
    <row r="23" customFormat="false" ht="21.75" hidden="false" customHeight="true" outlineLevel="0" collapsed="false">
      <c r="A23" s="3" t="s">
        <v>34</v>
      </c>
      <c r="B23" s="3" t="s">
        <v>35</v>
      </c>
    </row>
    <row r="24" customFormat="false" ht="21.75" hidden="false" customHeight="true" outlineLevel="0" collapsed="false">
      <c r="A24" s="3" t="s">
        <v>36</v>
      </c>
      <c r="B24" s="3" t="s">
        <v>37</v>
      </c>
    </row>
    <row r="25" customFormat="false" ht="21.75" hidden="false" customHeight="true" outlineLevel="0" collapsed="false">
      <c r="A25" s="3"/>
      <c r="B25" s="3"/>
    </row>
    <row r="26" customFormat="false" ht="21.75" hidden="false" customHeight="true" outlineLevel="0" collapsed="false">
      <c r="A26" s="2" t="s">
        <v>38</v>
      </c>
      <c r="B26" s="3"/>
    </row>
    <row r="27" customFormat="false" ht="21.75" hidden="false" customHeight="true" outlineLevel="0" collapsed="false">
      <c r="A27" s="3" t="s">
        <v>39</v>
      </c>
      <c r="B27" s="3" t="s">
        <v>40</v>
      </c>
    </row>
    <row r="28" customFormat="false" ht="21.75" hidden="false" customHeight="true" outlineLevel="0" collapsed="false">
      <c r="A28" s="3" t="s">
        <v>41</v>
      </c>
      <c r="B28" s="3" t="s">
        <v>42</v>
      </c>
    </row>
    <row r="29" customFormat="false" ht="21.75" hidden="false" customHeight="true" outlineLevel="0" collapsed="false">
      <c r="A29" s="3" t="s">
        <v>43</v>
      </c>
      <c r="B29" s="3" t="s">
        <v>44</v>
      </c>
    </row>
    <row r="30" customFormat="false" ht="21.75" hidden="false" customHeight="true" outlineLevel="0" collapsed="false">
      <c r="A30" s="3" t="s">
        <v>45</v>
      </c>
      <c r="B30" s="3" t="s">
        <v>46</v>
      </c>
    </row>
    <row r="31" customFormat="false" ht="21.75" hidden="false" customHeight="true" outlineLevel="0" collapsed="false">
      <c r="A31" s="3" t="s">
        <v>47</v>
      </c>
      <c r="B31" s="3" t="s">
        <v>48</v>
      </c>
    </row>
    <row r="32" customFormat="false" ht="21.75" hidden="false" customHeight="true" outlineLevel="0" collapsed="false">
      <c r="A32" s="3" t="s">
        <v>49</v>
      </c>
      <c r="B32" s="3" t="s">
        <v>50</v>
      </c>
    </row>
    <row r="33" customFormat="false" ht="21.75" hidden="false" customHeight="true" outlineLevel="0" collapsed="false">
      <c r="A33" s="3"/>
      <c r="B33" s="3"/>
    </row>
    <row r="34" customFormat="false" ht="21.75" hidden="false" customHeight="true" outlineLevel="0" collapsed="false">
      <c r="A34" s="2" t="s">
        <v>51</v>
      </c>
      <c r="B34" s="3"/>
    </row>
    <row r="35" customFormat="false" ht="21.75" hidden="false" customHeight="true" outlineLevel="0" collapsed="false">
      <c r="A35" s="3" t="s">
        <v>52</v>
      </c>
      <c r="B35" s="3" t="s">
        <v>53</v>
      </c>
    </row>
    <row r="36" customFormat="false" ht="21.75" hidden="false" customHeight="true" outlineLevel="0" collapsed="false">
      <c r="A36" s="3" t="s">
        <v>54</v>
      </c>
      <c r="B36" s="3" t="s">
        <v>55</v>
      </c>
    </row>
    <row r="37" customFormat="false" ht="21.75" hidden="false" customHeight="true" outlineLevel="0" collapsed="false">
      <c r="A37" s="3" t="s">
        <v>56</v>
      </c>
      <c r="B37" s="3" t="s">
        <v>57</v>
      </c>
    </row>
    <row r="38" customFormat="false" ht="21.75" hidden="false" customHeight="true" outlineLevel="0" collapsed="false">
      <c r="A38" s="3"/>
      <c r="B38" s="3"/>
    </row>
    <row r="39" customFormat="false" ht="21.75" hidden="false" customHeight="true" outlineLevel="0" collapsed="false">
      <c r="A39" s="2" t="s">
        <v>58</v>
      </c>
      <c r="B39" s="3"/>
    </row>
    <row r="40" customFormat="false" ht="21.75" hidden="false" customHeight="true" outlineLevel="0" collapsed="false">
      <c r="A40" s="3" t="s">
        <v>59</v>
      </c>
      <c r="B40" s="3" t="s">
        <v>60</v>
      </c>
    </row>
    <row r="41" customFormat="false" ht="21.75" hidden="false" customHeight="true" outlineLevel="0" collapsed="false">
      <c r="A41" s="3" t="s">
        <v>61</v>
      </c>
      <c r="B41" s="3" t="s">
        <v>62</v>
      </c>
    </row>
    <row r="42" customFormat="false" ht="21.75" hidden="false" customHeight="true" outlineLevel="0" collapsed="false">
      <c r="A42" s="3" t="s">
        <v>63</v>
      </c>
      <c r="B42" s="3" t="s">
        <v>64</v>
      </c>
    </row>
    <row r="43" customFormat="false" ht="21.75" hidden="false" customHeight="true" outlineLevel="0" collapsed="false">
      <c r="A43" s="3"/>
      <c r="B43" s="3"/>
    </row>
    <row r="44" customFormat="false" ht="21.75" hidden="false" customHeight="true" outlineLevel="0" collapsed="false">
      <c r="A44" s="2" t="s">
        <v>65</v>
      </c>
      <c r="B44" s="3"/>
    </row>
    <row r="45" customFormat="false" ht="21.75" hidden="false" customHeight="true" outlineLevel="0" collapsed="false">
      <c r="A45" s="3" t="s">
        <v>66</v>
      </c>
      <c r="B45" s="3" t="s">
        <v>67</v>
      </c>
    </row>
    <row r="46" customFormat="false" ht="21.75" hidden="false" customHeight="true" outlineLevel="0" collapsed="false">
      <c r="A46" s="3" t="s">
        <v>66</v>
      </c>
      <c r="B46" s="3" t="s">
        <v>68</v>
      </c>
    </row>
    <row r="47" customFormat="false" ht="21.75" hidden="false" customHeight="true" outlineLevel="0" collapsed="false">
      <c r="A47" s="3" t="s">
        <v>66</v>
      </c>
      <c r="B47" s="3" t="s">
        <v>69</v>
      </c>
    </row>
    <row r="48" customFormat="false" ht="21.75" hidden="false" customHeight="true" outlineLevel="0" collapsed="false">
      <c r="A48" s="3" t="s">
        <v>66</v>
      </c>
      <c r="B48" s="3" t="s">
        <v>70</v>
      </c>
    </row>
    <row r="49" customFormat="false" ht="21.75" hidden="false" customHeight="true" outlineLevel="0" collapsed="false">
      <c r="A49" s="3" t="s">
        <v>66</v>
      </c>
      <c r="B49" s="3" t="s">
        <v>71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</row>
    <row r="4" customFormat="false" ht="19.5" hidden="false" customHeight="true" outlineLevel="0" collapsed="false">
      <c r="A4" s="7" t="s">
        <v>78</v>
      </c>
      <c r="B4" s="8" t="s">
        <v>79</v>
      </c>
      <c r="C4" s="9" t="s">
        <v>80</v>
      </c>
      <c r="D4" s="10" t="s">
        <v>81</v>
      </c>
      <c r="E4" s="11" t="s">
        <v>82</v>
      </c>
    </row>
    <row r="5" customFormat="false" ht="34.5" hidden="false" customHeight="true" outlineLevel="0" collapsed="false">
      <c r="A5" s="7" t="s">
        <v>83</v>
      </c>
      <c r="B5" s="8" t="s">
        <v>84</v>
      </c>
      <c r="C5" s="12" t="s">
        <v>85</v>
      </c>
      <c r="D5" s="10" t="s">
        <v>81</v>
      </c>
      <c r="E5" s="11" t="s">
        <v>86</v>
      </c>
    </row>
    <row r="6" customFormat="false" ht="49.5" hidden="false" customHeight="true" outlineLevel="0" collapsed="false">
      <c r="A6" s="7" t="s">
        <v>87</v>
      </c>
      <c r="B6" s="8" t="s">
        <v>88</v>
      </c>
      <c r="C6" s="12" t="s">
        <v>85</v>
      </c>
      <c r="D6" s="10" t="s">
        <v>81</v>
      </c>
      <c r="E6" s="11" t="s">
        <v>89</v>
      </c>
    </row>
    <row r="7" customFormat="false" ht="34.5" hidden="false" customHeight="true" outlineLevel="0" collapsed="false">
      <c r="A7" s="7" t="s">
        <v>83</v>
      </c>
      <c r="B7" s="8" t="s">
        <v>90</v>
      </c>
      <c r="C7" s="12" t="s">
        <v>85</v>
      </c>
      <c r="D7" s="13" t="s">
        <v>91</v>
      </c>
      <c r="E7" s="11" t="s">
        <v>92</v>
      </c>
    </row>
    <row r="8" customFormat="false" ht="64.5" hidden="false" customHeight="true" outlineLevel="0" collapsed="false">
      <c r="A8" s="7" t="s">
        <v>93</v>
      </c>
      <c r="B8" s="8" t="s">
        <v>94</v>
      </c>
      <c r="C8" s="12" t="s">
        <v>85</v>
      </c>
      <c r="D8" s="13" t="s">
        <v>91</v>
      </c>
      <c r="E8" s="11" t="s">
        <v>95</v>
      </c>
    </row>
    <row r="9" customFormat="false" ht="34.5" hidden="false" customHeight="true" outlineLevel="0" collapsed="false">
      <c r="A9" s="7" t="s">
        <v>78</v>
      </c>
      <c r="B9" s="8" t="s">
        <v>96</v>
      </c>
      <c r="C9" s="14" t="s">
        <v>97</v>
      </c>
      <c r="D9" s="10" t="s">
        <v>81</v>
      </c>
      <c r="E9" s="11" t="s">
        <v>98</v>
      </c>
    </row>
    <row r="10" customFormat="false" ht="34.5" hidden="false" customHeight="true" outlineLevel="0" collapsed="false">
      <c r="A10" s="7" t="s">
        <v>83</v>
      </c>
      <c r="B10" s="8" t="s">
        <v>99</v>
      </c>
      <c r="C10" s="14" t="s">
        <v>97</v>
      </c>
      <c r="D10" s="15" t="s">
        <v>100</v>
      </c>
      <c r="E10" s="11" t="s">
        <v>101</v>
      </c>
    </row>
    <row r="11" customFormat="false" ht="19.5" hidden="false" customHeight="true" outlineLevel="0" collapsed="false">
      <c r="A11" s="7" t="s">
        <v>83</v>
      </c>
      <c r="B11" s="8" t="s">
        <v>102</v>
      </c>
      <c r="C11" s="14" t="s">
        <v>97</v>
      </c>
      <c r="D11" s="15" t="s">
        <v>100</v>
      </c>
      <c r="E11" s="11" t="s">
        <v>103</v>
      </c>
    </row>
    <row r="12" customFormat="false" ht="19.5" hidden="false" customHeight="true" outlineLevel="0" collapsed="false">
      <c r="A12" s="7" t="s">
        <v>83</v>
      </c>
      <c r="B12" s="8" t="s">
        <v>104</v>
      </c>
      <c r="C12" s="14" t="s">
        <v>97</v>
      </c>
      <c r="D12" s="15" t="s">
        <v>100</v>
      </c>
      <c r="E12" s="11" t="s">
        <v>105</v>
      </c>
    </row>
    <row r="13" customFormat="false" ht="19.5" hidden="false" customHeight="true" outlineLevel="0" collapsed="false">
      <c r="A13" s="7" t="s">
        <v>83</v>
      </c>
      <c r="B13" s="8" t="s">
        <v>106</v>
      </c>
      <c r="C13" s="14" t="s">
        <v>97</v>
      </c>
      <c r="D13" s="15" t="s">
        <v>100</v>
      </c>
      <c r="E13" s="11" t="s">
        <v>107</v>
      </c>
    </row>
    <row r="14" customFormat="false" ht="19.5" hidden="false" customHeight="true" outlineLevel="0" collapsed="false">
      <c r="A14" s="7" t="s">
        <v>83</v>
      </c>
      <c r="B14" s="8" t="s">
        <v>108</v>
      </c>
      <c r="C14" s="14" t="s">
        <v>97</v>
      </c>
      <c r="D14" s="15" t="s">
        <v>100</v>
      </c>
      <c r="E14" s="11" t="s">
        <v>109</v>
      </c>
    </row>
    <row r="15" customFormat="false" ht="19.5" hidden="false" customHeight="true" outlineLevel="0" collapsed="false">
      <c r="A15" s="7" t="s">
        <v>78</v>
      </c>
      <c r="B15" s="8" t="s">
        <v>110</v>
      </c>
      <c r="C15" s="14" t="s">
        <v>97</v>
      </c>
      <c r="D15" s="15" t="s">
        <v>100</v>
      </c>
      <c r="E15" s="11" t="s">
        <v>111</v>
      </c>
    </row>
    <row r="16" customFormat="false" ht="19.5" hidden="false" customHeight="true" outlineLevel="0" collapsed="false">
      <c r="A16" s="7" t="s">
        <v>78</v>
      </c>
      <c r="B16" s="8" t="s">
        <v>112</v>
      </c>
      <c r="C16" s="14" t="s">
        <v>97</v>
      </c>
      <c r="D16" s="15" t="s">
        <v>100</v>
      </c>
      <c r="E16" s="11" t="s">
        <v>113</v>
      </c>
    </row>
    <row r="17" customFormat="false" ht="19.5" hidden="false" customHeight="true" outlineLevel="0" collapsed="false">
      <c r="A17" s="7" t="s">
        <v>114</v>
      </c>
      <c r="B17" s="8" t="s">
        <v>115</v>
      </c>
      <c r="C17" s="14" t="s">
        <v>97</v>
      </c>
      <c r="D17" s="15" t="s">
        <v>100</v>
      </c>
      <c r="E17" s="11" t="s">
        <v>116</v>
      </c>
    </row>
    <row r="18" customFormat="false" ht="19.5" hidden="false" customHeight="true" outlineLevel="0" collapsed="false">
      <c r="A18" s="7" t="s">
        <v>114</v>
      </c>
      <c r="B18" s="8" t="s">
        <v>117</v>
      </c>
      <c r="C18" s="14" t="s">
        <v>97</v>
      </c>
      <c r="D18" s="15" t="s">
        <v>100</v>
      </c>
      <c r="E18" s="11" t="s">
        <v>118</v>
      </c>
    </row>
    <row r="19" customFormat="false" ht="19.5" hidden="false" customHeight="true" outlineLevel="0" collapsed="false">
      <c r="A19" s="7" t="s">
        <v>114</v>
      </c>
      <c r="B19" s="8" t="s">
        <v>119</v>
      </c>
      <c r="C19" s="14" t="s">
        <v>97</v>
      </c>
      <c r="D19" s="15" t="s">
        <v>100</v>
      </c>
      <c r="E19" s="11" t="s">
        <v>120</v>
      </c>
    </row>
    <row r="20" customFormat="false" ht="19.5" hidden="false" customHeight="true" outlineLevel="0" collapsed="false">
      <c r="A20" s="7" t="s">
        <v>93</v>
      </c>
      <c r="B20" s="8" t="s">
        <v>121</v>
      </c>
      <c r="C20" s="14" t="s">
        <v>97</v>
      </c>
      <c r="D20" s="15" t="s">
        <v>100</v>
      </c>
      <c r="E20" s="11" t="s">
        <v>122</v>
      </c>
    </row>
    <row r="21" customFormat="false" ht="34.5" hidden="false" customHeight="true" outlineLevel="0" collapsed="false">
      <c r="A21" s="7" t="s">
        <v>93</v>
      </c>
      <c r="B21" s="8" t="s">
        <v>123</v>
      </c>
      <c r="C21" s="14" t="s">
        <v>97</v>
      </c>
      <c r="D21" s="15" t="s">
        <v>100</v>
      </c>
      <c r="E21" s="11" t="s">
        <v>124</v>
      </c>
    </row>
    <row r="23" customFormat="false" ht="15" hidden="false" customHeight="false" outlineLevel="0" collapsed="false">
      <c r="A23" s="16" t="s">
        <v>125</v>
      </c>
      <c r="B23" s="17" t="s">
        <v>3</v>
      </c>
      <c r="C23" s="18" t="s">
        <v>126</v>
      </c>
      <c r="D23" s="19" t="s">
        <v>127</v>
      </c>
      <c r="E23" s="20" t="s">
        <v>128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10" min="6" style="0" width="16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A3" s="6" t="s">
        <v>130</v>
      </c>
      <c r="B3" s="6" t="s">
        <v>131</v>
      </c>
      <c r="C3" s="6" t="s">
        <v>132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137</v>
      </c>
      <c r="I3" s="6" t="s">
        <v>138</v>
      </c>
      <c r="J3" s="6" t="s">
        <v>139</v>
      </c>
      <c r="K3" s="6" t="s">
        <v>140</v>
      </c>
    </row>
    <row r="4" customFormat="false" ht="15" hidden="false" customHeight="false" outlineLevel="0" collapsed="false">
      <c r="A4" s="21" t="n">
        <v>1</v>
      </c>
      <c r="B4" s="22" t="s">
        <v>52</v>
      </c>
      <c r="C4" s="23" t="n">
        <v>45752.2</v>
      </c>
      <c r="D4" s="24" t="n">
        <f aca="false">C4/C14*100</f>
        <v>18.9744108676882</v>
      </c>
      <c r="E4" s="21" t="n">
        <v>142</v>
      </c>
      <c r="F4" s="23" t="n">
        <f aca="false">IF(E4=0,0,C4/E4)</f>
        <v>322.198591549296</v>
      </c>
      <c r="G4" s="23" t="n">
        <v>31000.4</v>
      </c>
      <c r="H4" s="23" t="n">
        <v>8608</v>
      </c>
      <c r="I4" s="23" t="n">
        <v>5692.8</v>
      </c>
      <c r="J4" s="23" t="n">
        <v>351.5</v>
      </c>
      <c r="K4" s="25" t="n">
        <v>30328</v>
      </c>
    </row>
    <row r="5" customFormat="false" ht="15" hidden="false" customHeight="false" outlineLevel="0" collapsed="false">
      <c r="A5" s="21" t="n">
        <v>2</v>
      </c>
      <c r="B5" s="22" t="s">
        <v>56</v>
      </c>
      <c r="C5" s="23" t="n">
        <v>43157</v>
      </c>
      <c r="D5" s="24" t="n">
        <f aca="false">C5/C14*100</f>
        <v>17.8981262063205</v>
      </c>
      <c r="E5" s="21" t="n">
        <v>155</v>
      </c>
      <c r="F5" s="23" t="n">
        <f aca="false">IF(E5=0,0,C5/E5)</f>
        <v>278.432258064516</v>
      </c>
      <c r="G5" s="23" t="n">
        <v>24646.8</v>
      </c>
      <c r="H5" s="23" t="n">
        <v>12327.4</v>
      </c>
      <c r="I5" s="23" t="n">
        <v>5851.8</v>
      </c>
      <c r="J5" s="23" t="n">
        <v>206</v>
      </c>
      <c r="K5" s="25" t="n">
        <v>32817</v>
      </c>
    </row>
    <row r="6" customFormat="false" ht="15" hidden="false" customHeight="false" outlineLevel="0" collapsed="false">
      <c r="A6" s="21" t="n">
        <v>3</v>
      </c>
      <c r="B6" s="22" t="s">
        <v>141</v>
      </c>
      <c r="C6" s="23" t="n">
        <v>36445.5</v>
      </c>
      <c r="D6" s="24" t="n">
        <f aca="false">C6/C14*100</f>
        <v>15.114724347208</v>
      </c>
      <c r="E6" s="21" t="n">
        <v>124</v>
      </c>
      <c r="F6" s="23" t="n">
        <f aca="false">IF(E6=0,0,C6/E6)</f>
        <v>293.915322580645</v>
      </c>
      <c r="G6" s="23" t="n">
        <v>21685.6</v>
      </c>
      <c r="H6" s="23" t="n">
        <v>10177.2</v>
      </c>
      <c r="I6" s="23" t="n">
        <v>4038.6</v>
      </c>
      <c r="J6" s="23" t="n">
        <v>392</v>
      </c>
      <c r="K6" s="25" t="n">
        <v>26746</v>
      </c>
    </row>
    <row r="7" customFormat="false" ht="15" hidden="false" customHeight="false" outlineLevel="0" collapsed="false">
      <c r="A7" s="21" t="n">
        <v>4</v>
      </c>
      <c r="B7" s="22" t="s">
        <v>54</v>
      </c>
      <c r="C7" s="23" t="n">
        <v>35700.7</v>
      </c>
      <c r="D7" s="24" t="n">
        <f aca="false">C7/C14*100</f>
        <v>14.8058399391521</v>
      </c>
      <c r="E7" s="21" t="n">
        <v>120</v>
      </c>
      <c r="F7" s="23" t="n">
        <f aca="false">IF(E7=0,0,C7/E7)</f>
        <v>297.505833333333</v>
      </c>
      <c r="G7" s="23" t="n">
        <v>18224.8</v>
      </c>
      <c r="H7" s="23" t="n">
        <v>10697.8</v>
      </c>
      <c r="I7" s="23" t="n">
        <v>6378.6</v>
      </c>
      <c r="J7" s="23" t="n">
        <v>144.2</v>
      </c>
      <c r="K7" s="25" t="n">
        <v>32509</v>
      </c>
    </row>
    <row r="8" customFormat="false" ht="15" hidden="false" customHeight="false" outlineLevel="0" collapsed="false">
      <c r="A8" s="21" t="n">
        <v>5</v>
      </c>
      <c r="B8" s="22" t="s">
        <v>142</v>
      </c>
      <c r="C8" s="23" t="n">
        <v>26228.8</v>
      </c>
      <c r="D8" s="24" t="n">
        <f aca="false">C8/C14*100</f>
        <v>10.8776414635016</v>
      </c>
      <c r="E8" s="21" t="n">
        <v>132</v>
      </c>
      <c r="F8" s="23" t="n">
        <f aca="false">IF(E8=0,0,C8/E8)</f>
        <v>198.70303030303</v>
      </c>
      <c r="G8" s="23" t="n">
        <v>12510.8</v>
      </c>
      <c r="H8" s="23" t="n">
        <v>7439.2</v>
      </c>
      <c r="I8" s="23" t="n">
        <v>6116.4</v>
      </c>
      <c r="J8" s="23" t="n">
        <v>162.4</v>
      </c>
      <c r="K8" s="25" t="n">
        <v>28680</v>
      </c>
    </row>
    <row r="9" customFormat="false" ht="15" hidden="false" customHeight="false" outlineLevel="0" collapsed="false">
      <c r="A9" s="21" t="n">
        <v>6</v>
      </c>
      <c r="B9" s="22" t="s">
        <v>63</v>
      </c>
      <c r="C9" s="23" t="n">
        <v>25991.7</v>
      </c>
      <c r="D9" s="24" t="n">
        <f aca="false">C9/C14*100</f>
        <v>10.7793110484237</v>
      </c>
      <c r="E9" s="21" t="n">
        <v>196</v>
      </c>
      <c r="F9" s="23" t="n">
        <f aca="false">IF(E9=0,0,C9/E9)</f>
        <v>132.610714285714</v>
      </c>
      <c r="G9" s="23" t="n">
        <v>14164</v>
      </c>
      <c r="H9" s="23" t="n">
        <v>11459</v>
      </c>
      <c r="I9" s="23" t="n">
        <v>42.9</v>
      </c>
      <c r="J9" s="23" t="n">
        <v>0</v>
      </c>
      <c r="K9" s="25" t="n">
        <v>11556</v>
      </c>
    </row>
    <row r="10" customFormat="false" ht="15" hidden="false" customHeight="false" outlineLevel="0" collapsed="false">
      <c r="A10" s="21" t="n">
        <v>7</v>
      </c>
      <c r="B10" s="22" t="s">
        <v>143</v>
      </c>
      <c r="C10" s="23" t="n">
        <v>12007.5</v>
      </c>
      <c r="D10" s="24" t="n">
        <f aca="false">C10/C14*100</f>
        <v>4.97976574883318</v>
      </c>
      <c r="E10" s="21" t="n">
        <v>59</v>
      </c>
      <c r="F10" s="23" t="n">
        <f aca="false">IF(E10=0,0,C10/E10)</f>
        <v>203.516949152542</v>
      </c>
      <c r="G10" s="23" t="n">
        <v>5731.2</v>
      </c>
      <c r="H10" s="23" t="n">
        <v>3163.8</v>
      </c>
      <c r="I10" s="23" t="n">
        <v>2294.4</v>
      </c>
      <c r="J10" s="23" t="n">
        <v>814.1</v>
      </c>
      <c r="K10" s="25" t="n">
        <v>18670</v>
      </c>
    </row>
    <row r="11" customFormat="false" ht="15" hidden="false" customHeight="false" outlineLevel="0" collapsed="false">
      <c r="A11" s="21" t="n">
        <v>8</v>
      </c>
      <c r="B11" s="22" t="s">
        <v>144</v>
      </c>
      <c r="C11" s="23" t="n">
        <v>10852.8</v>
      </c>
      <c r="D11" s="24" t="n">
        <f aca="false">C11/C14*100</f>
        <v>4.50088708881422</v>
      </c>
      <c r="E11" s="21" t="n">
        <v>63</v>
      </c>
      <c r="F11" s="23" t="n">
        <f aca="false">IF(E11=0,0,C11/E11)</f>
        <v>172.266666666667</v>
      </c>
      <c r="G11" s="23" t="n">
        <v>1088.8</v>
      </c>
      <c r="H11" s="23" t="n">
        <v>9634.4</v>
      </c>
      <c r="I11" s="23" t="n">
        <v>125.1</v>
      </c>
      <c r="J11" s="23" t="n">
        <v>4.5</v>
      </c>
      <c r="K11" s="25" t="n">
        <v>8926</v>
      </c>
    </row>
    <row r="12" customFormat="false" ht="15" hidden="false" customHeight="false" outlineLevel="0" collapsed="false">
      <c r="A12" s="21" t="n">
        <v>9</v>
      </c>
      <c r="B12" s="22" t="s">
        <v>61</v>
      </c>
      <c r="C12" s="23" t="n">
        <v>4699.3</v>
      </c>
      <c r="D12" s="24" t="n">
        <f aca="false">C12/C14*100</f>
        <v>1.94889970297662</v>
      </c>
      <c r="E12" s="21" t="n">
        <v>53</v>
      </c>
      <c r="F12" s="23" t="n">
        <f aca="false">IF(E12=0,0,C12/E12)</f>
        <v>88.6660377358491</v>
      </c>
      <c r="G12" s="23" t="n">
        <v>2451.2</v>
      </c>
      <c r="H12" s="23" t="n">
        <v>1869</v>
      </c>
      <c r="I12" s="23" t="n">
        <v>364.8</v>
      </c>
      <c r="J12" s="23" t="n">
        <v>12.3</v>
      </c>
      <c r="K12" s="25" t="n">
        <v>2918</v>
      </c>
    </row>
    <row r="13" customFormat="false" ht="15" hidden="false" customHeight="false" outlineLevel="0" collapsed="false">
      <c r="A13" s="21" t="n">
        <v>10</v>
      </c>
      <c r="B13" s="22" t="s">
        <v>59</v>
      </c>
      <c r="C13" s="23" t="n">
        <v>290.3</v>
      </c>
      <c r="D13" s="24" t="n">
        <f aca="false">C13/C14*100</f>
        <v>0.12039358708193</v>
      </c>
      <c r="E13" s="21" t="n">
        <v>27</v>
      </c>
      <c r="F13" s="23" t="n">
        <f aca="false">IF(E13=0,0,C13/E13)</f>
        <v>10.7518518518519</v>
      </c>
      <c r="G13" s="23" t="n">
        <v>0</v>
      </c>
      <c r="H13" s="23" t="n">
        <v>0</v>
      </c>
      <c r="I13" s="23" t="n">
        <v>0</v>
      </c>
      <c r="J13" s="23" t="n">
        <v>290.3</v>
      </c>
      <c r="K13" s="25" t="n">
        <v>2903</v>
      </c>
    </row>
    <row r="14" customFormat="false" ht="15" hidden="false" customHeight="false" outlineLevel="0" collapsed="false">
      <c r="A14" s="26" t="s">
        <v>125</v>
      </c>
      <c r="B14" s="26"/>
      <c r="C14" s="27" t="n">
        <f aca="false">SUM(C4:C13)</f>
        <v>241125.8</v>
      </c>
      <c r="D14" s="28" t="n">
        <f aca="false">SUM(D4:D13)</f>
        <v>100</v>
      </c>
      <c r="E14" s="26" t="n">
        <f aca="false">SUM(E4:E13)</f>
        <v>1071</v>
      </c>
      <c r="F14" s="27" t="n">
        <f aca="false">IF(E14=0,0,C14/E14)</f>
        <v>225.140802987862</v>
      </c>
      <c r="G14" s="27" t="n">
        <f aca="false">SUM(G4:G13)</f>
        <v>131503.6</v>
      </c>
      <c r="H14" s="27" t="n">
        <f aca="false">SUM(H4:H13)</f>
        <v>75375.8</v>
      </c>
      <c r="I14" s="27" t="n">
        <f aca="false">SUM(I4:I13)</f>
        <v>30905.4</v>
      </c>
      <c r="J14" s="27" t="n">
        <f aca="false">SUM(J4:J13)</f>
        <v>2377.3</v>
      </c>
      <c r="K14" s="29" t="n">
        <f aca="false">SUM(K4:K13)</f>
        <v>196053</v>
      </c>
    </row>
  </sheetData>
  <mergeCells count="1">
    <mergeCell ref="A1:K1"/>
  </mergeCells>
  <conditionalFormatting sqref="F4:F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:C13">
    <cfRule type="dataBar" priority="3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{175C7EF0-604A-48DF-9BA9-999A3E482038}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C7EF0-604A-48DF-9BA9-999A3E482038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C4:C13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22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1.5" hidden="false" customHeight="true" outlineLevel="0" collapsed="false">
      <c r="A3" s="6" t="s">
        <v>131</v>
      </c>
      <c r="B3" s="6" t="s">
        <v>134</v>
      </c>
      <c r="C3" s="6" t="s">
        <v>146</v>
      </c>
      <c r="D3" s="6" t="s">
        <v>147</v>
      </c>
      <c r="E3" s="6" t="s">
        <v>148</v>
      </c>
      <c r="F3" s="6" t="s">
        <v>149</v>
      </c>
      <c r="G3" s="6" t="s">
        <v>150</v>
      </c>
      <c r="H3" s="6" t="s">
        <v>151</v>
      </c>
      <c r="I3" s="6" t="s">
        <v>152</v>
      </c>
      <c r="J3" s="6" t="s">
        <v>153</v>
      </c>
    </row>
    <row r="4" customFormat="false" ht="15" hidden="false" customHeight="false" outlineLevel="0" collapsed="false">
      <c r="A4" s="30" t="s">
        <v>52</v>
      </c>
      <c r="B4" s="31" t="n">
        <v>142</v>
      </c>
      <c r="C4" s="32" t="n">
        <v>12.9106597222222</v>
      </c>
      <c r="D4" s="33" t="n">
        <v>50</v>
      </c>
      <c r="E4" s="33" t="n">
        <v>24.96</v>
      </c>
      <c r="F4" s="34" t="n">
        <v>-25.04</v>
      </c>
      <c r="G4" s="33" t="n">
        <v>91665.68</v>
      </c>
      <c r="H4" s="33" t="n">
        <v>45752.2</v>
      </c>
      <c r="I4" s="34" t="n">
        <v>-45913.48</v>
      </c>
      <c r="J4" s="35" t="n">
        <v>0.499</v>
      </c>
    </row>
    <row r="5" customFormat="false" ht="15" hidden="false" customHeight="false" outlineLevel="0" collapsed="false">
      <c r="A5" s="30" t="s">
        <v>54</v>
      </c>
      <c r="B5" s="31" t="n">
        <v>120</v>
      </c>
      <c r="C5" s="32" t="n">
        <v>11.9982638888889</v>
      </c>
      <c r="D5" s="33" t="n">
        <v>50</v>
      </c>
      <c r="E5" s="33" t="n">
        <v>24.8</v>
      </c>
      <c r="F5" s="34" t="n">
        <v>-25.2</v>
      </c>
      <c r="G5" s="33" t="n">
        <v>71989.58</v>
      </c>
      <c r="H5" s="33" t="n">
        <v>35700.7</v>
      </c>
      <c r="I5" s="34" t="n">
        <v>-36288.88</v>
      </c>
      <c r="J5" s="35" t="n">
        <v>0.496</v>
      </c>
    </row>
    <row r="6" customFormat="false" ht="15" hidden="false" customHeight="false" outlineLevel="0" collapsed="false">
      <c r="A6" s="30" t="s">
        <v>56</v>
      </c>
      <c r="B6" s="31" t="n">
        <v>155</v>
      </c>
      <c r="C6" s="32" t="n">
        <v>11.7186226851852</v>
      </c>
      <c r="D6" s="33" t="n">
        <v>50</v>
      </c>
      <c r="E6" s="33" t="n">
        <v>23.76</v>
      </c>
      <c r="F6" s="34" t="n">
        <v>-26.24</v>
      </c>
      <c r="G6" s="33" t="n">
        <v>90819.33</v>
      </c>
      <c r="H6" s="33" t="n">
        <v>43157</v>
      </c>
      <c r="I6" s="34" t="n">
        <v>-47662.33</v>
      </c>
      <c r="J6" s="35" t="n">
        <v>0.475</v>
      </c>
    </row>
    <row r="7" customFormat="false" ht="15" hidden="false" customHeight="false" outlineLevel="0" collapsed="false">
      <c r="A7" s="30" t="s">
        <v>141</v>
      </c>
      <c r="B7" s="31" t="n">
        <v>124</v>
      </c>
      <c r="C7" s="32" t="n">
        <v>13.0241898148148</v>
      </c>
      <c r="D7" s="33" t="n">
        <v>50</v>
      </c>
      <c r="E7" s="33" t="n">
        <v>22.57</v>
      </c>
      <c r="F7" s="34" t="n">
        <v>-27.43</v>
      </c>
      <c r="G7" s="33" t="n">
        <v>80749.98</v>
      </c>
      <c r="H7" s="33" t="n">
        <v>36445.5</v>
      </c>
      <c r="I7" s="34" t="n">
        <v>-44304.48</v>
      </c>
      <c r="J7" s="35" t="n">
        <v>0.451</v>
      </c>
    </row>
    <row r="8" customFormat="false" ht="15" hidden="false" customHeight="false" outlineLevel="0" collapsed="false">
      <c r="A8" s="30" t="s">
        <v>143</v>
      </c>
      <c r="B8" s="31" t="n">
        <v>59</v>
      </c>
      <c r="C8" s="32" t="n">
        <v>11.7877546296296</v>
      </c>
      <c r="D8" s="33" t="n">
        <v>50</v>
      </c>
      <c r="E8" s="33" t="n">
        <v>17.27</v>
      </c>
      <c r="F8" s="34" t="n">
        <v>-32.73</v>
      </c>
      <c r="G8" s="33" t="n">
        <v>34773.88</v>
      </c>
      <c r="H8" s="33" t="n">
        <v>12007.5</v>
      </c>
      <c r="I8" s="34" t="n">
        <v>-22766.38</v>
      </c>
      <c r="J8" s="35" t="n">
        <v>0.345</v>
      </c>
    </row>
    <row r="9" customFormat="false" ht="15" hidden="false" customHeight="false" outlineLevel="0" collapsed="false">
      <c r="A9" s="30" t="s">
        <v>142</v>
      </c>
      <c r="B9" s="31" t="n">
        <v>132</v>
      </c>
      <c r="C9" s="32" t="n">
        <v>14.0494212962963</v>
      </c>
      <c r="D9" s="33" t="n">
        <v>50</v>
      </c>
      <c r="E9" s="33" t="n">
        <v>14.14</v>
      </c>
      <c r="F9" s="34" t="n">
        <v>-35.86</v>
      </c>
      <c r="G9" s="33" t="n">
        <v>92726.18</v>
      </c>
      <c r="H9" s="33" t="n">
        <v>26228.8</v>
      </c>
      <c r="I9" s="34" t="n">
        <v>-66497.38</v>
      </c>
      <c r="J9" s="35" t="n">
        <v>0.283</v>
      </c>
    </row>
    <row r="10" customFormat="false" ht="15" hidden="false" customHeight="false" outlineLevel="0" collapsed="false">
      <c r="A10" s="30" t="s">
        <v>144</v>
      </c>
      <c r="B10" s="31" t="n">
        <v>63</v>
      </c>
      <c r="C10" s="32" t="n">
        <v>12.9763888888889</v>
      </c>
      <c r="D10" s="33" t="n">
        <v>50</v>
      </c>
      <c r="E10" s="33" t="n">
        <v>13.28</v>
      </c>
      <c r="F10" s="34" t="n">
        <v>-36.72</v>
      </c>
      <c r="G10" s="33" t="n">
        <v>40875.62</v>
      </c>
      <c r="H10" s="33" t="n">
        <v>10852.8</v>
      </c>
      <c r="I10" s="34" t="n">
        <v>-30022.82</v>
      </c>
      <c r="J10" s="35" t="n">
        <v>0.266</v>
      </c>
    </row>
    <row r="11" customFormat="false" ht="15" hidden="false" customHeight="false" outlineLevel="0" collapsed="false">
      <c r="A11" s="30" t="s">
        <v>63</v>
      </c>
      <c r="B11" s="31" t="n">
        <v>196</v>
      </c>
      <c r="C11" s="32" t="n">
        <v>12.8216550925926</v>
      </c>
      <c r="D11" s="33" t="n">
        <v>50</v>
      </c>
      <c r="E11" s="33" t="n">
        <v>10.34</v>
      </c>
      <c r="F11" s="34" t="n">
        <v>-39.66</v>
      </c>
      <c r="G11" s="33" t="n">
        <v>125652.22</v>
      </c>
      <c r="H11" s="33" t="n">
        <v>25991.7</v>
      </c>
      <c r="I11" s="34" t="n">
        <v>-99660.52</v>
      </c>
      <c r="J11" s="35" t="n">
        <v>0.207</v>
      </c>
    </row>
    <row r="12" customFormat="false" ht="15" hidden="false" customHeight="false" outlineLevel="0" collapsed="false">
      <c r="A12" s="30" t="s">
        <v>61</v>
      </c>
      <c r="B12" s="31" t="n">
        <v>53</v>
      </c>
      <c r="C12" s="32" t="n">
        <v>12.5815509259259</v>
      </c>
      <c r="D12" s="33" t="n">
        <v>50</v>
      </c>
      <c r="E12" s="33" t="n">
        <v>7.05</v>
      </c>
      <c r="F12" s="34" t="n">
        <v>-42.95</v>
      </c>
      <c r="G12" s="33" t="n">
        <v>33341.11</v>
      </c>
      <c r="H12" s="33" t="n">
        <v>4699.3</v>
      </c>
      <c r="I12" s="34" t="n">
        <v>-28641.81</v>
      </c>
      <c r="J12" s="35" t="n">
        <v>0.141</v>
      </c>
    </row>
    <row r="13" customFormat="false" ht="15" hidden="false" customHeight="false" outlineLevel="0" collapsed="false">
      <c r="A13" s="30" t="s">
        <v>59</v>
      </c>
      <c r="B13" s="31" t="n">
        <v>27</v>
      </c>
      <c r="C13" s="32" t="n">
        <v>10.943900462963</v>
      </c>
      <c r="D13" s="33" t="n">
        <v>50</v>
      </c>
      <c r="E13" s="33" t="n">
        <v>0.98</v>
      </c>
      <c r="F13" s="34" t="n">
        <v>-49.02</v>
      </c>
      <c r="G13" s="33" t="n">
        <v>14774.27</v>
      </c>
      <c r="H13" s="33" t="n">
        <v>290.3</v>
      </c>
      <c r="I13" s="34" t="n">
        <v>-14483.97</v>
      </c>
      <c r="J13" s="35" t="n">
        <v>0.02</v>
      </c>
    </row>
    <row r="14" customFormat="false" ht="15" hidden="false" customHeight="false" outlineLevel="0" collapsed="false">
      <c r="A14" s="26" t="s">
        <v>154</v>
      </c>
      <c r="B14" s="26" t="n">
        <v>1071</v>
      </c>
      <c r="C14" s="36" t="n">
        <v>12.4812407407407</v>
      </c>
      <c r="D14" s="27" t="n">
        <v>50</v>
      </c>
      <c r="E14" s="27" t="n">
        <v>18.0383351034138</v>
      </c>
      <c r="F14" s="37" t="n">
        <v>-31.9616648965862</v>
      </c>
      <c r="G14" s="27" t="n">
        <v>677367.85</v>
      </c>
      <c r="H14" s="27" t="n">
        <v>241125.8</v>
      </c>
      <c r="I14" s="37" t="n">
        <v>-436242.05</v>
      </c>
      <c r="J14" s="38" t="n">
        <v>0.355974674617344</v>
      </c>
    </row>
    <row r="16" customFormat="false" ht="15" hidden="false" customHeight="false" outlineLevel="0" collapsed="false">
      <c r="A16" s="39" t="s">
        <v>155</v>
      </c>
    </row>
    <row r="17" customFormat="false" ht="15" hidden="false" customHeight="false" outlineLevel="0" collapsed="false">
      <c r="A17" s="40" t="s">
        <v>156</v>
      </c>
    </row>
    <row r="18" customFormat="false" ht="15" hidden="false" customHeight="false" outlineLevel="0" collapsed="false">
      <c r="A18" s="40" t="s">
        <v>157</v>
      </c>
    </row>
    <row r="19" customFormat="false" ht="15" hidden="false" customHeight="false" outlineLevel="0" collapsed="false">
      <c r="A19" s="40" t="s">
        <v>158</v>
      </c>
    </row>
    <row r="20" customFormat="false" ht="15" hidden="false" customHeight="false" outlineLevel="0" collapsed="false">
      <c r="A20" s="40" t="s">
        <v>159</v>
      </c>
    </row>
  </sheetData>
  <mergeCells count="1">
    <mergeCell ref="A1:J1"/>
  </mergeCells>
  <conditionalFormatting sqref="J4:J13">
    <cfRule type="colorScale" priority="2">
      <colorScale>
        <cfvo type="num" val="0"/>
        <cfvo type="num" val="1"/>
        <cfvo type="num" val="1.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1.5" hidden="false" customHeight="true" outlineLevel="0" collapsed="false">
      <c r="A3" s="6" t="s">
        <v>161</v>
      </c>
      <c r="B3" s="6" t="s">
        <v>162</v>
      </c>
      <c r="C3" s="6" t="s">
        <v>163</v>
      </c>
      <c r="D3" s="6" t="s">
        <v>164</v>
      </c>
      <c r="E3" s="6" t="s">
        <v>165</v>
      </c>
      <c r="F3" s="6" t="s">
        <v>166</v>
      </c>
      <c r="G3" s="6" t="s">
        <v>167</v>
      </c>
      <c r="H3" s="6" t="s">
        <v>168</v>
      </c>
      <c r="I3" s="6" t="s">
        <v>169</v>
      </c>
      <c r="J3" s="6" t="s">
        <v>170</v>
      </c>
      <c r="K3" s="6" t="s">
        <v>171</v>
      </c>
      <c r="L3" s="6" t="s">
        <v>172</v>
      </c>
      <c r="M3" s="6" t="s">
        <v>173</v>
      </c>
    </row>
    <row r="4" customFormat="false" ht="15" hidden="false" customHeight="false" outlineLevel="0" collapsed="false">
      <c r="A4" s="8" t="s">
        <v>174</v>
      </c>
      <c r="B4" s="41" t="n">
        <v>1450321</v>
      </c>
      <c r="C4" s="41" t="n">
        <v>69255</v>
      </c>
      <c r="D4" s="41" t="n">
        <v>52809</v>
      </c>
      <c r="E4" s="41" t="n">
        <v>0</v>
      </c>
      <c r="F4" s="41" t="n">
        <v>15302</v>
      </c>
      <c r="G4" s="41" t="n">
        <v>14634</v>
      </c>
      <c r="H4" s="42" t="n">
        <v>0.048</v>
      </c>
      <c r="I4" s="42" t="n">
        <v>0.728</v>
      </c>
      <c r="J4" s="42" t="n">
        <v>0.763</v>
      </c>
      <c r="K4" s="42" t="n">
        <v>0</v>
      </c>
      <c r="L4" s="42" t="n">
        <v>0.956</v>
      </c>
      <c r="M4" s="43" t="n">
        <v>0.3</v>
      </c>
    </row>
    <row r="5" customFormat="false" ht="15" hidden="false" customHeight="false" outlineLevel="0" collapsed="false">
      <c r="A5" s="8" t="s">
        <v>43</v>
      </c>
      <c r="B5" s="41" t="n">
        <v>595924</v>
      </c>
      <c r="C5" s="41" t="n">
        <v>103018</v>
      </c>
      <c r="D5" s="41" t="n">
        <v>0</v>
      </c>
      <c r="E5" s="41" t="n">
        <v>0</v>
      </c>
      <c r="F5" s="41" t="n">
        <v>0</v>
      </c>
      <c r="G5" s="41" t="n">
        <v>0</v>
      </c>
      <c r="H5" s="42" t="n">
        <v>0.173</v>
      </c>
      <c r="I5" s="42" t="n">
        <v>0</v>
      </c>
      <c r="J5" s="42" t="n">
        <v>0</v>
      </c>
      <c r="K5" s="42" t="n">
        <v>0</v>
      </c>
      <c r="L5" s="42" t="n">
        <v>0</v>
      </c>
      <c r="M5" s="43" t="n">
        <v>0</v>
      </c>
    </row>
    <row r="6" customFormat="false" ht="15" hidden="false" customHeight="false" outlineLevel="0" collapsed="false">
      <c r="A6" s="8" t="s">
        <v>175</v>
      </c>
      <c r="B6" s="41" t="n">
        <v>433971</v>
      </c>
      <c r="C6" s="41" t="n">
        <v>0</v>
      </c>
      <c r="D6" s="41" t="n">
        <v>309740</v>
      </c>
      <c r="E6" s="41" t="n">
        <v>106132</v>
      </c>
      <c r="F6" s="41" t="n">
        <v>328759</v>
      </c>
      <c r="G6" s="41" t="n">
        <v>300889</v>
      </c>
      <c r="H6" s="42" t="n">
        <v>0</v>
      </c>
      <c r="I6" s="42" t="n">
        <v>0</v>
      </c>
      <c r="J6" s="42" t="n">
        <v>0</v>
      </c>
      <c r="K6" s="42" t="n">
        <v>0.343</v>
      </c>
      <c r="L6" s="42" t="n">
        <v>0.915</v>
      </c>
      <c r="M6" s="43" t="n">
        <v>1.1</v>
      </c>
    </row>
    <row r="7" customFormat="false" ht="15" hidden="false" customHeight="false" outlineLevel="0" collapsed="false">
      <c r="A7" s="8" t="s">
        <v>49</v>
      </c>
      <c r="B7" s="41" t="n">
        <v>226953</v>
      </c>
      <c r="C7" s="41" t="n">
        <v>0</v>
      </c>
      <c r="D7" s="41" t="n">
        <v>0</v>
      </c>
      <c r="E7" s="41" t="n">
        <v>0</v>
      </c>
      <c r="F7" s="41" t="n">
        <v>0</v>
      </c>
      <c r="G7" s="41" t="n">
        <v>0</v>
      </c>
      <c r="H7" s="42" t="n">
        <v>0</v>
      </c>
      <c r="I7" s="42" t="n">
        <v>0.993</v>
      </c>
      <c r="J7" s="42" t="n">
        <v>0</v>
      </c>
      <c r="K7" s="42" t="n">
        <v>0</v>
      </c>
      <c r="L7" s="42" t="n">
        <v>0</v>
      </c>
      <c r="M7" s="43" t="n">
        <v>0</v>
      </c>
    </row>
    <row r="8" customFormat="false" ht="15" hidden="false" customHeight="false" outlineLevel="0" collapsed="false">
      <c r="A8" s="8" t="s">
        <v>176</v>
      </c>
      <c r="B8" s="41" t="n">
        <v>222043</v>
      </c>
      <c r="C8" s="41" t="n">
        <v>24344</v>
      </c>
      <c r="D8" s="41" t="n">
        <v>0</v>
      </c>
      <c r="E8" s="41" t="n">
        <v>0</v>
      </c>
      <c r="F8" s="41" t="n">
        <v>0</v>
      </c>
      <c r="G8" s="41" t="n">
        <v>0</v>
      </c>
      <c r="H8" s="42" t="n">
        <v>0.11</v>
      </c>
      <c r="I8" s="42" t="n">
        <v>0.9</v>
      </c>
      <c r="J8" s="42" t="n">
        <v>0</v>
      </c>
      <c r="K8" s="42" t="n">
        <v>0</v>
      </c>
      <c r="L8" s="42" t="n">
        <v>0</v>
      </c>
      <c r="M8" s="43" t="n">
        <v>0</v>
      </c>
    </row>
    <row r="9" customFormat="false" ht="15" hidden="false" customHeight="false" outlineLevel="0" collapsed="false">
      <c r="A9" s="8" t="s">
        <v>45</v>
      </c>
      <c r="B9" s="41" t="n">
        <v>59470</v>
      </c>
      <c r="C9" s="41" t="n">
        <v>23773</v>
      </c>
      <c r="D9" s="41" t="n">
        <v>0</v>
      </c>
      <c r="E9" s="41" t="n">
        <v>0</v>
      </c>
      <c r="F9" s="41" t="n">
        <v>0</v>
      </c>
      <c r="G9" s="41" t="n">
        <v>0</v>
      </c>
      <c r="H9" s="42" t="n">
        <v>0.4</v>
      </c>
      <c r="I9" s="42" t="n">
        <v>0.665</v>
      </c>
      <c r="J9" s="42" t="n">
        <v>0</v>
      </c>
      <c r="K9" s="42" t="n">
        <v>0</v>
      </c>
      <c r="L9" s="42" t="n">
        <v>0</v>
      </c>
      <c r="M9" s="43" t="n">
        <v>0</v>
      </c>
    </row>
    <row r="10" customFormat="false" ht="15" hidden="false" customHeight="false" outlineLevel="0" collapsed="false">
      <c r="A10" s="8" t="s">
        <v>177</v>
      </c>
      <c r="B10" s="41" t="n">
        <v>16014</v>
      </c>
      <c r="C10" s="41" t="n">
        <v>1086</v>
      </c>
      <c r="D10" s="41" t="n">
        <v>0</v>
      </c>
      <c r="E10" s="41" t="n">
        <v>0</v>
      </c>
      <c r="F10" s="41" t="n">
        <v>0</v>
      </c>
      <c r="G10" s="41" t="n">
        <v>0</v>
      </c>
      <c r="H10" s="42" t="n">
        <v>0.068</v>
      </c>
      <c r="I10" s="42" t="n">
        <v>0.081</v>
      </c>
      <c r="J10" s="42" t="n">
        <v>0</v>
      </c>
      <c r="K10" s="42" t="n">
        <v>0</v>
      </c>
      <c r="L10" s="42" t="n">
        <v>0</v>
      </c>
      <c r="M10" s="43" t="n">
        <v>0</v>
      </c>
    </row>
    <row r="11" customFormat="false" ht="15" hidden="false" customHeight="false" outlineLevel="0" collapsed="false">
      <c r="A11" s="8" t="s">
        <v>178</v>
      </c>
      <c r="B11" s="41" t="n">
        <v>8967</v>
      </c>
      <c r="C11" s="41" t="n">
        <v>0</v>
      </c>
      <c r="D11" s="41" t="n">
        <v>4434</v>
      </c>
      <c r="E11" s="41" t="n">
        <v>0</v>
      </c>
      <c r="F11" s="41" t="n">
        <v>6309</v>
      </c>
      <c r="G11" s="41" t="n">
        <v>3538</v>
      </c>
      <c r="H11" s="42" t="n">
        <v>0</v>
      </c>
      <c r="I11" s="42" t="n">
        <v>0</v>
      </c>
      <c r="J11" s="42" t="n">
        <v>0</v>
      </c>
      <c r="K11" s="42" t="n">
        <v>0</v>
      </c>
      <c r="L11" s="42" t="n">
        <v>0.561</v>
      </c>
      <c r="M11" s="43" t="n">
        <v>1.4</v>
      </c>
    </row>
    <row r="12" customFormat="false" ht="15" hidden="false" customHeight="false" outlineLevel="0" collapsed="false">
      <c r="A12" s="8" t="s">
        <v>47</v>
      </c>
      <c r="B12" s="41" t="n">
        <v>1106</v>
      </c>
      <c r="C12" s="41" t="n">
        <v>7</v>
      </c>
      <c r="D12" s="41" t="n">
        <v>0</v>
      </c>
      <c r="E12" s="41" t="n">
        <v>0</v>
      </c>
      <c r="F12" s="41" t="n">
        <v>0</v>
      </c>
      <c r="G12" s="41" t="n">
        <v>0</v>
      </c>
      <c r="H12" s="42" t="n">
        <v>0.006</v>
      </c>
      <c r="I12" s="42" t="n">
        <v>1</v>
      </c>
      <c r="J12" s="42" t="n">
        <v>0</v>
      </c>
      <c r="K12" s="42" t="n">
        <v>0</v>
      </c>
      <c r="L12" s="42" t="n">
        <v>0</v>
      </c>
      <c r="M12" s="43" t="n">
        <v>0</v>
      </c>
    </row>
    <row r="14" customFormat="false" ht="15" hidden="false" customHeight="false" outlineLevel="0" collapsed="false">
      <c r="A14" s="39" t="s">
        <v>179</v>
      </c>
      <c r="B14" s="40"/>
    </row>
    <row r="15" customFormat="false" ht="15" hidden="false" customHeight="false" outlineLevel="0" collapsed="false">
      <c r="A15" s="40" t="s">
        <v>180</v>
      </c>
      <c r="B15" s="40" t="s">
        <v>181</v>
      </c>
    </row>
    <row r="16" customFormat="false" ht="15" hidden="false" customHeight="false" outlineLevel="0" collapsed="false">
      <c r="A16" s="40" t="s">
        <v>182</v>
      </c>
      <c r="B16" s="40" t="s">
        <v>183</v>
      </c>
    </row>
    <row r="17" customFormat="false" ht="15" hidden="false" customHeight="false" outlineLevel="0" collapsed="false">
      <c r="A17" s="40" t="s">
        <v>184</v>
      </c>
      <c r="B17" s="40" t="s">
        <v>185</v>
      </c>
    </row>
    <row r="18" customFormat="false" ht="15" hidden="false" customHeight="false" outlineLevel="0" collapsed="false">
      <c r="A18" s="40" t="s">
        <v>186</v>
      </c>
      <c r="B18" s="40" t="s">
        <v>187</v>
      </c>
    </row>
    <row r="19" customFormat="false" ht="15" hidden="false" customHeight="false" outlineLevel="0" collapsed="false">
      <c r="A19" s="40" t="s">
        <v>188</v>
      </c>
      <c r="B19" s="40" t="s">
        <v>189</v>
      </c>
    </row>
    <row r="20" customFormat="false" ht="15" hidden="false" customHeight="false" outlineLevel="0" collapsed="false">
      <c r="A20" s="40" t="s">
        <v>173</v>
      </c>
      <c r="B20" s="40" t="s">
        <v>190</v>
      </c>
    </row>
  </sheetData>
  <mergeCells count="1">
    <mergeCell ref="A1:M1"/>
  </mergeCells>
  <conditionalFormatting sqref="H4:H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4:I1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:K12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10" min="8" style="0" width="12"/>
    <col collapsed="false" customWidth="true" hidden="false" outlineLevel="0" max="11" min="11" style="0" width="13"/>
  </cols>
  <sheetData>
    <row r="1" customFormat="false" ht="27.7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A3" s="6" t="s">
        <v>131</v>
      </c>
      <c r="B3" s="6" t="s">
        <v>192</v>
      </c>
      <c r="C3" s="6" t="s">
        <v>193</v>
      </c>
      <c r="D3" s="6" t="s">
        <v>194</v>
      </c>
      <c r="E3" s="6" t="s">
        <v>195</v>
      </c>
      <c r="F3" s="6" t="s">
        <v>196</v>
      </c>
      <c r="G3" s="6" t="s">
        <v>197</v>
      </c>
      <c r="H3" s="6" t="s">
        <v>198</v>
      </c>
      <c r="I3" s="6" t="s">
        <v>199</v>
      </c>
      <c r="J3" s="6" t="s">
        <v>200</v>
      </c>
      <c r="K3" s="6" t="s">
        <v>201</v>
      </c>
    </row>
    <row r="4" customFormat="false" ht="15" hidden="false" customHeight="false" outlineLevel="0" collapsed="false">
      <c r="A4" s="22" t="s">
        <v>52</v>
      </c>
      <c r="B4" s="44" t="n">
        <v>0.654</v>
      </c>
      <c r="C4" s="44" t="n">
        <v>0.426</v>
      </c>
      <c r="D4" s="44" t="n">
        <v>0.918</v>
      </c>
      <c r="E4" s="44" t="n">
        <v>0.959</v>
      </c>
      <c r="F4" s="45" t="n">
        <v>0.0429</v>
      </c>
      <c r="G4" s="45" t="n">
        <v>0.1911</v>
      </c>
      <c r="H4" s="25" t="n">
        <v>55575</v>
      </c>
      <c r="I4" s="25" t="n">
        <v>23669</v>
      </c>
      <c r="J4" s="25" t="n">
        <v>7834</v>
      </c>
      <c r="K4" s="25" t="n">
        <v>18976</v>
      </c>
    </row>
    <row r="5" customFormat="false" ht="15" hidden="false" customHeight="false" outlineLevel="0" collapsed="false">
      <c r="A5" s="22" t="s">
        <v>56</v>
      </c>
      <c r="B5" s="44" t="n">
        <v>0.775</v>
      </c>
      <c r="C5" s="44" t="n">
        <v>0.344</v>
      </c>
      <c r="D5" s="44" t="n">
        <v>0.916</v>
      </c>
      <c r="E5" s="44" t="n">
        <v>0.952</v>
      </c>
      <c r="F5" s="45" t="n">
        <v>0.0521</v>
      </c>
      <c r="G5" s="45" t="n">
        <v>0.1698</v>
      </c>
      <c r="H5" s="25" t="n">
        <v>54621</v>
      </c>
      <c r="I5" s="25" t="n">
        <v>18810</v>
      </c>
      <c r="J5" s="25" t="n">
        <v>11251</v>
      </c>
      <c r="K5" s="25" t="n">
        <v>19506</v>
      </c>
    </row>
    <row r="6" customFormat="false" ht="15" hidden="false" customHeight="false" outlineLevel="0" collapsed="false">
      <c r="A6" s="22" t="s">
        <v>141</v>
      </c>
      <c r="B6" s="44" t="n">
        <v>0.381</v>
      </c>
      <c r="C6" s="44" t="n">
        <v>0.305</v>
      </c>
      <c r="D6" s="44" t="n">
        <v>0.926</v>
      </c>
      <c r="E6" s="44" t="n">
        <v>0.96</v>
      </c>
      <c r="F6" s="45" t="n">
        <v>0.0552</v>
      </c>
      <c r="G6" s="45" t="n">
        <v>0.1683</v>
      </c>
      <c r="H6" s="25" t="n">
        <v>44907</v>
      </c>
      <c r="I6" s="25" t="n">
        <v>13700</v>
      </c>
      <c r="J6" s="25" t="n">
        <v>9364</v>
      </c>
      <c r="K6" s="25" t="n">
        <v>13462</v>
      </c>
    </row>
    <row r="7" customFormat="false" ht="15" hidden="false" customHeight="false" outlineLevel="0" collapsed="false">
      <c r="A7" s="22" t="s">
        <v>54</v>
      </c>
      <c r="B7" s="44" t="n">
        <v>0.85</v>
      </c>
      <c r="C7" s="44" t="n">
        <v>0.348</v>
      </c>
      <c r="D7" s="44" t="n">
        <v>0.92</v>
      </c>
      <c r="E7" s="44" t="n">
        <v>0.959</v>
      </c>
      <c r="F7" s="45" t="n">
        <v>0.0479</v>
      </c>
      <c r="G7" s="45" t="n">
        <v>0.1755</v>
      </c>
      <c r="H7" s="25" t="n">
        <v>44351</v>
      </c>
      <c r="I7" s="25" t="n">
        <v>15423</v>
      </c>
      <c r="J7" s="25" t="n">
        <v>9803</v>
      </c>
      <c r="K7" s="25" t="n">
        <v>21262</v>
      </c>
    </row>
    <row r="8" customFormat="false" ht="15" hidden="false" customHeight="false" outlineLevel="0" collapsed="false">
      <c r="A8" s="22" t="s">
        <v>142</v>
      </c>
      <c r="B8" s="44" t="n">
        <v>0.817</v>
      </c>
      <c r="C8" s="44" t="n">
        <v>0.286</v>
      </c>
      <c r="D8" s="44" t="n">
        <v>0.896</v>
      </c>
      <c r="E8" s="44" t="n">
        <v>0.967</v>
      </c>
      <c r="F8" s="45" t="n">
        <v>0.0406</v>
      </c>
      <c r="G8" s="45" t="n">
        <v>0.1648</v>
      </c>
      <c r="H8" s="25" t="n">
        <v>32347</v>
      </c>
      <c r="I8" s="25" t="n">
        <v>9257</v>
      </c>
      <c r="J8" s="25" t="n">
        <v>6668</v>
      </c>
      <c r="K8" s="25" t="n">
        <v>20388</v>
      </c>
    </row>
    <row r="9" customFormat="false" ht="15" hidden="false" customHeight="false" outlineLevel="0" collapsed="false">
      <c r="A9" s="22" t="s">
        <v>63</v>
      </c>
      <c r="B9" s="44" t="n">
        <v>0</v>
      </c>
      <c r="C9" s="44" t="n">
        <v>0.372</v>
      </c>
      <c r="D9" s="44" t="n">
        <v>0.936</v>
      </c>
      <c r="E9" s="44" t="n">
        <v>0.948</v>
      </c>
      <c r="F9" s="45" t="n">
        <v>0.0462</v>
      </c>
      <c r="G9" s="45" t="n">
        <v>0.1642</v>
      </c>
      <c r="H9" s="25" t="n">
        <v>48637</v>
      </c>
      <c r="I9" s="25" t="n">
        <v>18092</v>
      </c>
      <c r="J9" s="25" t="n">
        <v>11413</v>
      </c>
      <c r="K9" s="25" t="n">
        <v>143</v>
      </c>
    </row>
    <row r="10" customFormat="false" ht="15" hidden="false" customHeight="false" outlineLevel="0" collapsed="false">
      <c r="A10" s="22" t="s">
        <v>143</v>
      </c>
      <c r="B10" s="44" t="n">
        <v>0.406</v>
      </c>
      <c r="C10" s="44" t="n">
        <v>0.29</v>
      </c>
      <c r="D10" s="44" t="n">
        <v>0.89</v>
      </c>
      <c r="E10" s="44" t="n">
        <v>0.96</v>
      </c>
      <c r="F10" s="45" t="n">
        <v>0.0442</v>
      </c>
      <c r="G10" s="45" t="n">
        <v>0.169</v>
      </c>
      <c r="H10" s="25" t="n">
        <v>20977</v>
      </c>
      <c r="I10" s="25" t="n">
        <v>6082</v>
      </c>
      <c r="J10" s="25" t="n">
        <v>2881</v>
      </c>
      <c r="K10" s="25" t="n">
        <v>7648</v>
      </c>
    </row>
    <row r="11" customFormat="false" ht="15" hidden="false" customHeight="false" outlineLevel="0" collapsed="false">
      <c r="A11" s="22" t="s">
        <v>144</v>
      </c>
      <c r="B11" s="44" t="n">
        <v>0.853</v>
      </c>
      <c r="C11" s="44" t="n">
        <v>0.138</v>
      </c>
      <c r="D11" s="44" t="n">
        <v>0.695</v>
      </c>
      <c r="E11" s="44" t="n">
        <v>0.946</v>
      </c>
      <c r="F11" s="45" t="n">
        <v>0.0535</v>
      </c>
      <c r="G11" s="45" t="n">
        <v>0.1131</v>
      </c>
      <c r="H11" s="25" t="n">
        <v>3042</v>
      </c>
      <c r="I11" s="25" t="n">
        <v>419</v>
      </c>
      <c r="J11" s="25" t="n">
        <v>8464</v>
      </c>
      <c r="K11" s="25" t="n">
        <v>417</v>
      </c>
    </row>
    <row r="12" customFormat="false" ht="15" hidden="false" customHeight="false" outlineLevel="0" collapsed="false">
      <c r="A12" s="22" t="s">
        <v>61</v>
      </c>
      <c r="B12" s="44" t="n">
        <v>0.592</v>
      </c>
      <c r="C12" s="44" t="n">
        <v>0.129</v>
      </c>
      <c r="D12" s="44" t="n">
        <v>0.877</v>
      </c>
      <c r="E12" s="44" t="n">
        <v>0.959</v>
      </c>
      <c r="F12" s="45" t="n">
        <v>0.0372</v>
      </c>
      <c r="G12" s="45" t="n">
        <v>0.1722</v>
      </c>
      <c r="H12" s="25" t="n">
        <v>5283</v>
      </c>
      <c r="I12" s="25" t="n">
        <v>680</v>
      </c>
      <c r="J12" s="25" t="n">
        <v>1577</v>
      </c>
      <c r="K12" s="25" t="n">
        <v>1216</v>
      </c>
    </row>
    <row r="13" customFormat="false" ht="15" hidden="false" customHeight="false" outlineLevel="0" collapsed="false">
      <c r="A13" s="22" t="s">
        <v>59</v>
      </c>
      <c r="B13" s="44" t="n">
        <v>71.619</v>
      </c>
      <c r="C13" s="44" t="n">
        <v>0</v>
      </c>
      <c r="D13" s="44" t="n">
        <v>0</v>
      </c>
      <c r="E13" s="44" t="n">
        <v>0</v>
      </c>
      <c r="F13" s="45" t="n">
        <v>0</v>
      </c>
      <c r="G13" s="45" t="n">
        <v>0</v>
      </c>
      <c r="H13" s="25" t="n">
        <v>0</v>
      </c>
      <c r="I13" s="25" t="n">
        <v>0</v>
      </c>
      <c r="J13" s="25" t="n">
        <v>0</v>
      </c>
      <c r="K13" s="25" t="n">
        <v>0</v>
      </c>
    </row>
  </sheetData>
  <mergeCells count="1">
    <mergeCell ref="A1:K1"/>
  </mergeCells>
  <conditionalFormatting sqref="B4:B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4:C13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4:D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:E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:F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4:G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  <c r="I1" s="1"/>
    </row>
    <row r="3" customFormat="false" ht="31.5" hidden="false" customHeight="true" outlineLevel="0" collapsed="false">
      <c r="A3" s="6" t="s">
        <v>131</v>
      </c>
      <c r="B3" s="6" t="s">
        <v>134</v>
      </c>
      <c r="C3" s="6" t="s">
        <v>203</v>
      </c>
      <c r="D3" s="6" t="s">
        <v>204</v>
      </c>
      <c r="E3" s="6" t="s">
        <v>205</v>
      </c>
      <c r="F3" s="6" t="s">
        <v>206</v>
      </c>
      <c r="G3" s="6" t="s">
        <v>207</v>
      </c>
      <c r="H3" s="6" t="s">
        <v>208</v>
      </c>
      <c r="I3" s="6" t="s">
        <v>132</v>
      </c>
    </row>
    <row r="4" customFormat="false" ht="15" hidden="false" customHeight="false" outlineLevel="0" collapsed="false">
      <c r="A4" s="22" t="s">
        <v>52</v>
      </c>
      <c r="B4" s="21" t="n">
        <v>142</v>
      </c>
      <c r="C4" s="21" t="n">
        <v>38</v>
      </c>
      <c r="D4" s="44" t="n">
        <v>0.268</v>
      </c>
      <c r="E4" s="21" t="n">
        <v>2</v>
      </c>
      <c r="F4" s="44" t="n">
        <v>0.014</v>
      </c>
      <c r="G4" s="21" t="n">
        <v>1</v>
      </c>
      <c r="H4" s="44" t="n">
        <v>0.007</v>
      </c>
      <c r="I4" s="23" t="n">
        <v>45752.2</v>
      </c>
    </row>
    <row r="5" customFormat="false" ht="15" hidden="false" customHeight="false" outlineLevel="0" collapsed="false">
      <c r="A5" s="22" t="s">
        <v>56</v>
      </c>
      <c r="B5" s="21" t="n">
        <v>155</v>
      </c>
      <c r="C5" s="21" t="n">
        <v>48</v>
      </c>
      <c r="D5" s="44" t="n">
        <v>0.31</v>
      </c>
      <c r="E5" s="21" t="n">
        <v>1</v>
      </c>
      <c r="F5" s="44" t="n">
        <v>0.006</v>
      </c>
      <c r="G5" s="21" t="n">
        <v>1</v>
      </c>
      <c r="H5" s="44" t="n">
        <v>0.006</v>
      </c>
      <c r="I5" s="23" t="n">
        <v>43157</v>
      </c>
    </row>
    <row r="6" customFormat="false" ht="15" hidden="false" customHeight="false" outlineLevel="0" collapsed="false">
      <c r="A6" s="22" t="s">
        <v>141</v>
      </c>
      <c r="B6" s="21" t="n">
        <v>124</v>
      </c>
      <c r="C6" s="21" t="n">
        <v>20</v>
      </c>
      <c r="D6" s="44" t="n">
        <v>0.161</v>
      </c>
      <c r="E6" s="21" t="n">
        <v>6</v>
      </c>
      <c r="F6" s="44" t="n">
        <v>0.048</v>
      </c>
      <c r="G6" s="21" t="n">
        <v>4</v>
      </c>
      <c r="H6" s="44" t="n">
        <v>0.032</v>
      </c>
      <c r="I6" s="23" t="n">
        <v>36445.5</v>
      </c>
    </row>
    <row r="7" customFormat="false" ht="15" hidden="false" customHeight="false" outlineLevel="0" collapsed="false">
      <c r="A7" s="22" t="s">
        <v>54</v>
      </c>
      <c r="B7" s="21" t="n">
        <v>120</v>
      </c>
      <c r="C7" s="21" t="n">
        <v>17</v>
      </c>
      <c r="D7" s="44" t="n">
        <v>0.142</v>
      </c>
      <c r="E7" s="21" t="n">
        <v>4</v>
      </c>
      <c r="F7" s="44" t="n">
        <v>0.033</v>
      </c>
      <c r="G7" s="21" t="n">
        <v>4</v>
      </c>
      <c r="H7" s="44" t="n">
        <v>0.033</v>
      </c>
      <c r="I7" s="23" t="n">
        <v>35700.7</v>
      </c>
    </row>
    <row r="8" customFormat="false" ht="15" hidden="false" customHeight="false" outlineLevel="0" collapsed="false">
      <c r="A8" s="22" t="s">
        <v>142</v>
      </c>
      <c r="B8" s="21" t="n">
        <v>132</v>
      </c>
      <c r="C8" s="21" t="n">
        <v>35</v>
      </c>
      <c r="D8" s="44" t="n">
        <v>0.265</v>
      </c>
      <c r="E8" s="21" t="n">
        <v>14</v>
      </c>
      <c r="F8" s="44" t="n">
        <v>0.106</v>
      </c>
      <c r="G8" s="21" t="n">
        <v>11</v>
      </c>
      <c r="H8" s="44" t="n">
        <v>0.083</v>
      </c>
      <c r="I8" s="23" t="n">
        <v>26228.8</v>
      </c>
    </row>
    <row r="9" customFormat="false" ht="15" hidden="false" customHeight="false" outlineLevel="0" collapsed="false">
      <c r="A9" s="22" t="s">
        <v>63</v>
      </c>
      <c r="B9" s="21" t="n">
        <v>196</v>
      </c>
      <c r="C9" s="21" t="n">
        <v>22</v>
      </c>
      <c r="D9" s="44" t="n">
        <v>0.112</v>
      </c>
      <c r="E9" s="21" t="n">
        <v>53</v>
      </c>
      <c r="F9" s="44" t="n">
        <v>0.27</v>
      </c>
      <c r="G9" s="21" t="n">
        <v>35</v>
      </c>
      <c r="H9" s="44" t="n">
        <v>0.179</v>
      </c>
      <c r="I9" s="23" t="n">
        <v>25991.7</v>
      </c>
    </row>
    <row r="10" customFormat="false" ht="15" hidden="false" customHeight="false" outlineLevel="0" collapsed="false">
      <c r="A10" s="22" t="s">
        <v>143</v>
      </c>
      <c r="B10" s="21" t="n">
        <v>59</v>
      </c>
      <c r="C10" s="21" t="n">
        <v>7</v>
      </c>
      <c r="D10" s="44" t="n">
        <v>0.119</v>
      </c>
      <c r="E10" s="21" t="n">
        <v>2</v>
      </c>
      <c r="F10" s="44" t="n">
        <v>0.034</v>
      </c>
      <c r="G10" s="21" t="n">
        <v>1</v>
      </c>
      <c r="H10" s="44" t="n">
        <v>0.017</v>
      </c>
      <c r="I10" s="23" t="n">
        <v>12007.5</v>
      </c>
    </row>
    <row r="11" customFormat="false" ht="15" hidden="false" customHeight="false" outlineLevel="0" collapsed="false">
      <c r="A11" s="22" t="s">
        <v>144</v>
      </c>
      <c r="B11" s="21" t="n">
        <v>63</v>
      </c>
      <c r="C11" s="21" t="n">
        <v>5</v>
      </c>
      <c r="D11" s="44" t="n">
        <v>0.079</v>
      </c>
      <c r="E11" s="21" t="n">
        <v>9</v>
      </c>
      <c r="F11" s="44" t="n">
        <v>0.143</v>
      </c>
      <c r="G11" s="21" t="n">
        <v>8</v>
      </c>
      <c r="H11" s="44" t="n">
        <v>0.127</v>
      </c>
      <c r="I11" s="23" t="n">
        <v>10852.8</v>
      </c>
    </row>
    <row r="12" customFormat="false" ht="15" hidden="false" customHeight="false" outlineLevel="0" collapsed="false">
      <c r="A12" s="22" t="s">
        <v>61</v>
      </c>
      <c r="B12" s="21" t="n">
        <v>53</v>
      </c>
      <c r="C12" s="21" t="n">
        <v>0</v>
      </c>
      <c r="D12" s="44" t="n">
        <v>0</v>
      </c>
      <c r="E12" s="21" t="n">
        <v>8</v>
      </c>
      <c r="F12" s="44" t="n">
        <v>0.151</v>
      </c>
      <c r="G12" s="21" t="n">
        <v>8</v>
      </c>
      <c r="H12" s="44" t="n">
        <v>0.151</v>
      </c>
      <c r="I12" s="23" t="n">
        <v>4699.3</v>
      </c>
    </row>
    <row r="13" customFormat="false" ht="15" hidden="false" customHeight="false" outlineLevel="0" collapsed="false">
      <c r="A13" s="22" t="s">
        <v>59</v>
      </c>
      <c r="B13" s="21" t="n">
        <v>27</v>
      </c>
      <c r="C13" s="21" t="n">
        <v>0</v>
      </c>
      <c r="D13" s="44" t="n">
        <v>0</v>
      </c>
      <c r="E13" s="21" t="n">
        <v>6</v>
      </c>
      <c r="F13" s="44" t="n">
        <v>0.222</v>
      </c>
      <c r="G13" s="21" t="n">
        <v>6</v>
      </c>
      <c r="H13" s="44" t="n">
        <v>0.222</v>
      </c>
      <c r="I13" s="23" t="n">
        <v>290.3</v>
      </c>
    </row>
  </sheetData>
  <mergeCells count="1">
    <mergeCell ref="A1:I1"/>
  </mergeCells>
  <conditionalFormatting sqref="D4:D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13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27.75" hidden="false" customHeight="true" outlineLevel="0" collapsed="false">
      <c r="A1" s="1" t="s">
        <v>209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6" t="s">
        <v>131</v>
      </c>
      <c r="B3" s="6" t="s">
        <v>210</v>
      </c>
      <c r="C3" s="6" t="s">
        <v>134</v>
      </c>
      <c r="D3" s="6" t="s">
        <v>132</v>
      </c>
      <c r="E3" s="6" t="s">
        <v>135</v>
      </c>
      <c r="F3" s="6" t="s">
        <v>211</v>
      </c>
    </row>
    <row r="4" customFormat="false" ht="15" hidden="false" customHeight="false" outlineLevel="0" collapsed="false">
      <c r="A4" s="22" t="s">
        <v>141</v>
      </c>
      <c r="B4" s="22" t="s">
        <v>212</v>
      </c>
      <c r="C4" s="21" t="n">
        <v>17</v>
      </c>
      <c r="D4" s="23" t="n">
        <v>8455.1</v>
      </c>
      <c r="E4" s="23" t="n">
        <f aca="false">IF(C4=0,0,D4/C4)</f>
        <v>497.358823529412</v>
      </c>
      <c r="F4" s="44" t="n">
        <v>0.231992975813201</v>
      </c>
    </row>
    <row r="5" customFormat="false" ht="15" hidden="false" customHeight="false" outlineLevel="0" collapsed="false">
      <c r="A5" s="22" t="s">
        <v>141</v>
      </c>
      <c r="B5" s="22" t="s">
        <v>213</v>
      </c>
      <c r="C5" s="21" t="n">
        <v>16</v>
      </c>
      <c r="D5" s="23" t="n">
        <v>7547.8</v>
      </c>
      <c r="E5" s="23" t="n">
        <f aca="false">IF(C5=0,0,D5/C5)</f>
        <v>471.7375</v>
      </c>
      <c r="F5" s="44" t="n">
        <v>0.207098270019618</v>
      </c>
    </row>
    <row r="6" customFormat="false" ht="15" hidden="false" customHeight="false" outlineLevel="0" collapsed="false">
      <c r="A6" s="22" t="s">
        <v>141</v>
      </c>
      <c r="B6" s="22" t="s">
        <v>214</v>
      </c>
      <c r="C6" s="21" t="n">
        <v>17</v>
      </c>
      <c r="D6" s="23" t="n">
        <v>7133</v>
      </c>
      <c r="E6" s="23" t="n">
        <f aca="false">IF(C6=0,0,D6/C6)</f>
        <v>419.588235294118</v>
      </c>
      <c r="F6" s="44" t="n">
        <v>0.195716892346106</v>
      </c>
    </row>
    <row r="7" customFormat="false" ht="15" hidden="false" customHeight="false" outlineLevel="0" collapsed="false">
      <c r="A7" s="22" t="s">
        <v>141</v>
      </c>
      <c r="B7" s="22" t="s">
        <v>215</v>
      </c>
      <c r="C7" s="21" t="n">
        <v>36</v>
      </c>
      <c r="D7" s="23" t="n">
        <v>5202.7</v>
      </c>
      <c r="E7" s="23" t="n">
        <f aca="false">IF(C7=0,0,D7/C7)</f>
        <v>144.519444444444</v>
      </c>
      <c r="F7" s="44" t="n">
        <v>0.142752877584338</v>
      </c>
    </row>
    <row r="8" customFormat="false" ht="15" hidden="false" customHeight="false" outlineLevel="0" collapsed="false">
      <c r="A8" s="22" t="s">
        <v>141</v>
      </c>
      <c r="B8" s="22" t="s">
        <v>216</v>
      </c>
      <c r="C8" s="21" t="n">
        <v>19</v>
      </c>
      <c r="D8" s="23" t="n">
        <v>4680.8</v>
      </c>
      <c r="E8" s="23" t="n">
        <f aca="false">IF(C8=0,0,D8/C8)</f>
        <v>246.357894736842</v>
      </c>
      <c r="F8" s="44" t="n">
        <v>0.128432865511517</v>
      </c>
    </row>
    <row r="9" customFormat="false" ht="15" hidden="false" customHeight="false" outlineLevel="0" collapsed="false">
      <c r="A9" s="22" t="s">
        <v>141</v>
      </c>
      <c r="B9" s="22" t="s">
        <v>217</v>
      </c>
      <c r="C9" s="21" t="n">
        <v>22</v>
      </c>
      <c r="D9" s="23" t="n">
        <v>3426.1</v>
      </c>
      <c r="E9" s="23" t="n">
        <f aca="false">IF(C9=0,0,D9/C9)</f>
        <v>155.731818181818</v>
      </c>
      <c r="F9" s="44" t="n">
        <v>0.0940061187252198</v>
      </c>
    </row>
    <row r="10" customFormat="false" ht="15" hidden="false" customHeight="false" outlineLevel="0" collapsed="false">
      <c r="A10" s="22" t="s">
        <v>144</v>
      </c>
      <c r="B10" s="22" t="s">
        <v>218</v>
      </c>
      <c r="C10" s="21" t="n">
        <v>47</v>
      </c>
      <c r="D10" s="23" t="n">
        <v>8723</v>
      </c>
      <c r="E10" s="23" t="n">
        <f aca="false">IF(C10=0,0,D10/C10)</f>
        <v>185.595744680851</v>
      </c>
      <c r="F10" s="44" t="n">
        <v>0.80375571281144</v>
      </c>
    </row>
    <row r="11" customFormat="false" ht="15" hidden="false" customHeight="false" outlineLevel="0" collapsed="false">
      <c r="A11" s="22" t="s">
        <v>144</v>
      </c>
      <c r="B11" s="22" t="s">
        <v>219</v>
      </c>
      <c r="C11" s="21" t="n">
        <v>16</v>
      </c>
      <c r="D11" s="23" t="n">
        <v>2129.8</v>
      </c>
      <c r="E11" s="23" t="n">
        <f aca="false">IF(C11=0,0,D11/C11)</f>
        <v>133.1125</v>
      </c>
      <c r="F11" s="44" t="n">
        <v>0.19624428718856</v>
      </c>
    </row>
    <row r="12" customFormat="false" ht="15" hidden="false" customHeight="false" outlineLevel="0" collapsed="false">
      <c r="A12" s="22" t="s">
        <v>52</v>
      </c>
      <c r="B12" s="22" t="s">
        <v>220</v>
      </c>
      <c r="C12" s="21" t="n">
        <v>20</v>
      </c>
      <c r="D12" s="23" t="n">
        <v>9972.9</v>
      </c>
      <c r="E12" s="23" t="n">
        <f aca="false">IF(C12=0,0,D12/C12)</f>
        <v>498.645</v>
      </c>
      <c r="F12" s="44" t="n">
        <v>0.217976403320496</v>
      </c>
    </row>
    <row r="13" customFormat="false" ht="15" hidden="false" customHeight="false" outlineLevel="0" collapsed="false">
      <c r="A13" s="22" t="s">
        <v>52</v>
      </c>
      <c r="B13" s="22" t="s">
        <v>221</v>
      </c>
      <c r="C13" s="21" t="n">
        <v>22</v>
      </c>
      <c r="D13" s="23" t="n">
        <v>9689.5</v>
      </c>
      <c r="E13" s="23" t="n">
        <f aca="false">IF(C13=0,0,D13/C13)</f>
        <v>440.431818181818</v>
      </c>
      <c r="F13" s="44" t="n">
        <v>0.211782165666351</v>
      </c>
    </row>
    <row r="14" customFormat="false" ht="15" hidden="false" customHeight="false" outlineLevel="0" collapsed="false">
      <c r="A14" s="22" t="s">
        <v>52</v>
      </c>
      <c r="B14" s="22" t="s">
        <v>222</v>
      </c>
      <c r="C14" s="21" t="n">
        <v>36</v>
      </c>
      <c r="D14" s="23" t="n">
        <v>9535.8</v>
      </c>
      <c r="E14" s="23" t="n">
        <f aca="false">IF(C14=0,0,D14/C14)</f>
        <v>264.883333333333</v>
      </c>
      <c r="F14" s="44" t="n">
        <v>0.208422764369801</v>
      </c>
    </row>
    <row r="15" customFormat="false" ht="15" hidden="false" customHeight="false" outlineLevel="0" collapsed="false">
      <c r="A15" s="22" t="s">
        <v>52</v>
      </c>
      <c r="B15" s="22" t="s">
        <v>223</v>
      </c>
      <c r="C15" s="21" t="n">
        <v>17</v>
      </c>
      <c r="D15" s="23" t="n">
        <v>8742.2</v>
      </c>
      <c r="E15" s="23" t="n">
        <f aca="false">IF(C15=0,0,D15/C15)</f>
        <v>514.247058823529</v>
      </c>
      <c r="F15" s="44" t="n">
        <v>0.191077150388397</v>
      </c>
    </row>
    <row r="16" customFormat="false" ht="15" hidden="false" customHeight="false" outlineLevel="0" collapsed="false">
      <c r="A16" s="22" t="s">
        <v>52</v>
      </c>
      <c r="B16" s="22" t="s">
        <v>224</v>
      </c>
      <c r="C16" s="21" t="n">
        <v>27</v>
      </c>
      <c r="D16" s="23" t="n">
        <v>5316.4</v>
      </c>
      <c r="E16" s="23" t="n">
        <f aca="false">IF(C16=0,0,D16/C16)</f>
        <v>196.903703703704</v>
      </c>
      <c r="F16" s="44" t="n">
        <v>0.116199876727239</v>
      </c>
    </row>
    <row r="17" customFormat="false" ht="15" hidden="false" customHeight="false" outlineLevel="0" collapsed="false">
      <c r="A17" s="22" t="s">
        <v>52</v>
      </c>
      <c r="B17" s="22" t="s">
        <v>225</v>
      </c>
      <c r="C17" s="21" t="n">
        <v>21</v>
      </c>
      <c r="D17" s="23" t="n">
        <v>2495.4</v>
      </c>
      <c r="E17" s="23" t="n">
        <f aca="false">IF(C17=0,0,D17/C17)</f>
        <v>118.828571428571</v>
      </c>
      <c r="F17" s="44" t="n">
        <v>0.0545416395277167</v>
      </c>
    </row>
    <row r="18" customFormat="false" ht="15" hidden="false" customHeight="false" outlineLevel="0" collapsed="false">
      <c r="A18" s="22" t="s">
        <v>56</v>
      </c>
      <c r="B18" s="22" t="s">
        <v>226</v>
      </c>
      <c r="C18" s="21" t="n">
        <v>38</v>
      </c>
      <c r="D18" s="23" t="n">
        <v>9797.6</v>
      </c>
      <c r="E18" s="23" t="n">
        <f aca="false">IF(C18=0,0,D18/C18)</f>
        <v>257.831578947368</v>
      </c>
      <c r="F18" s="44" t="n">
        <v>0.227022267534815</v>
      </c>
    </row>
    <row r="19" customFormat="false" ht="15" hidden="false" customHeight="false" outlineLevel="0" collapsed="false">
      <c r="A19" s="22" t="s">
        <v>56</v>
      </c>
      <c r="B19" s="22" t="s">
        <v>227</v>
      </c>
      <c r="C19" s="21" t="n">
        <v>19</v>
      </c>
      <c r="D19" s="23" t="n">
        <v>9054.4</v>
      </c>
      <c r="E19" s="23" t="n">
        <f aca="false">IF(C19=0,0,D19/C19)</f>
        <v>476.547368421053</v>
      </c>
      <c r="F19" s="44" t="n">
        <v>0.209801422712422</v>
      </c>
    </row>
    <row r="20" customFormat="false" ht="15" hidden="false" customHeight="false" outlineLevel="0" collapsed="false">
      <c r="A20" s="22" t="s">
        <v>56</v>
      </c>
      <c r="B20" s="22" t="s">
        <v>228</v>
      </c>
      <c r="C20" s="21" t="n">
        <v>35</v>
      </c>
      <c r="D20" s="23" t="n">
        <v>8977.2</v>
      </c>
      <c r="E20" s="23" t="n">
        <f aca="false">IF(C20=0,0,D20/C20)</f>
        <v>256.491428571429</v>
      </c>
      <c r="F20" s="44" t="n">
        <v>0.208012605139375</v>
      </c>
    </row>
    <row r="21" customFormat="false" ht="15" hidden="false" customHeight="false" outlineLevel="0" collapsed="false">
      <c r="A21" s="22" t="s">
        <v>56</v>
      </c>
      <c r="B21" s="22" t="s">
        <v>229</v>
      </c>
      <c r="C21" s="21" t="n">
        <v>18</v>
      </c>
      <c r="D21" s="23" t="n">
        <v>6171.7</v>
      </c>
      <c r="E21" s="23" t="n">
        <f aca="false">IF(C21=0,0,D21/C21)</f>
        <v>342.872222222222</v>
      </c>
      <c r="F21" s="44" t="n">
        <v>0.143005769631809</v>
      </c>
    </row>
    <row r="22" customFormat="false" ht="15" hidden="false" customHeight="false" outlineLevel="0" collapsed="false">
      <c r="A22" s="22" t="s">
        <v>56</v>
      </c>
      <c r="B22" s="22" t="s">
        <v>230</v>
      </c>
      <c r="C22" s="21" t="n">
        <v>17</v>
      </c>
      <c r="D22" s="23" t="n">
        <v>5099.6</v>
      </c>
      <c r="E22" s="23" t="n">
        <f aca="false">IF(C22=0,0,D22/C22)</f>
        <v>299.976470588235</v>
      </c>
      <c r="F22" s="44" t="n">
        <v>0.118163913154297</v>
      </c>
    </row>
    <row r="23" customFormat="false" ht="15" hidden="false" customHeight="false" outlineLevel="0" collapsed="false">
      <c r="A23" s="22" t="s">
        <v>56</v>
      </c>
      <c r="B23" s="22" t="s">
        <v>231</v>
      </c>
      <c r="C23" s="21" t="n">
        <v>28</v>
      </c>
      <c r="D23" s="23" t="n">
        <v>4056.5</v>
      </c>
      <c r="E23" s="23" t="n">
        <f aca="false">IF(C23=0,0,D23/C23)</f>
        <v>144.875</v>
      </c>
      <c r="F23" s="44" t="n">
        <v>0.0939940218272818</v>
      </c>
    </row>
    <row r="24" customFormat="false" ht="15" hidden="false" customHeight="false" outlineLevel="0" collapsed="false">
      <c r="A24" s="22" t="s">
        <v>142</v>
      </c>
      <c r="B24" s="22" t="s">
        <v>232</v>
      </c>
      <c r="C24" s="21" t="n">
        <v>31</v>
      </c>
      <c r="D24" s="23" t="n">
        <v>6622.5</v>
      </c>
      <c r="E24" s="23" t="n">
        <f aca="false">IF(C24=0,0,D24/C24)</f>
        <v>213.629032258065</v>
      </c>
      <c r="F24" s="44" t="n">
        <v>0.252489629720002</v>
      </c>
    </row>
    <row r="25" customFormat="false" ht="15" hidden="false" customHeight="false" outlineLevel="0" collapsed="false">
      <c r="A25" s="22" t="s">
        <v>142</v>
      </c>
      <c r="B25" s="22" t="s">
        <v>233</v>
      </c>
      <c r="C25" s="21" t="n">
        <v>18</v>
      </c>
      <c r="D25" s="23" t="n">
        <v>4911</v>
      </c>
      <c r="E25" s="23" t="n">
        <f aca="false">IF(C25=0,0,D25/C25)</f>
        <v>272.833333333333</v>
      </c>
      <c r="F25" s="44" t="n">
        <v>0.187236930397121</v>
      </c>
    </row>
    <row r="26" customFormat="false" ht="15" hidden="false" customHeight="false" outlineLevel="0" collapsed="false">
      <c r="A26" s="22" t="s">
        <v>142</v>
      </c>
      <c r="B26" s="22" t="s">
        <v>234</v>
      </c>
      <c r="C26" s="21" t="n">
        <v>25</v>
      </c>
      <c r="D26" s="23" t="n">
        <v>4421.7</v>
      </c>
      <c r="E26" s="23" t="n">
        <f aca="false">IF(C26=0,0,D26/C26)</f>
        <v>176.868</v>
      </c>
      <c r="F26" s="44" t="n">
        <v>0.168581864210334</v>
      </c>
    </row>
    <row r="27" customFormat="false" ht="15" hidden="false" customHeight="false" outlineLevel="0" collapsed="false">
      <c r="A27" s="22" t="s">
        <v>142</v>
      </c>
      <c r="B27" s="22" t="s">
        <v>235</v>
      </c>
      <c r="C27" s="21" t="n">
        <v>15</v>
      </c>
      <c r="D27" s="23" t="n">
        <v>3464.9</v>
      </c>
      <c r="E27" s="23" t="n">
        <f aca="false">IF(C27=0,0,D27/C27)</f>
        <v>230.993333333333</v>
      </c>
      <c r="F27" s="44" t="n">
        <v>0.132102879277741</v>
      </c>
    </row>
    <row r="28" customFormat="false" ht="15" hidden="false" customHeight="false" outlineLevel="0" collapsed="false">
      <c r="A28" s="22" t="s">
        <v>142</v>
      </c>
      <c r="B28" s="22" t="s">
        <v>236</v>
      </c>
      <c r="C28" s="21" t="n">
        <v>17</v>
      </c>
      <c r="D28" s="23" t="n">
        <v>3076.7</v>
      </c>
      <c r="E28" s="23" t="n">
        <f aca="false">IF(C28=0,0,D28/C28)</f>
        <v>180.982352941176</v>
      </c>
      <c r="F28" s="44" t="n">
        <v>0.117302354663576</v>
      </c>
    </row>
    <row r="29" customFormat="false" ht="15" hidden="false" customHeight="false" outlineLevel="0" collapsed="false">
      <c r="A29" s="22" t="s">
        <v>142</v>
      </c>
      <c r="B29" s="22" t="s">
        <v>237</v>
      </c>
      <c r="C29" s="21" t="n">
        <v>17</v>
      </c>
      <c r="D29" s="23" t="n">
        <v>2200.2</v>
      </c>
      <c r="E29" s="23" t="n">
        <f aca="false">IF(C29=0,0,D29/C29)</f>
        <v>129.423529411765</v>
      </c>
      <c r="F29" s="44" t="n">
        <v>0.0838848898920271</v>
      </c>
    </row>
    <row r="30" customFormat="false" ht="15" hidden="false" customHeight="false" outlineLevel="0" collapsed="false">
      <c r="A30" s="22" t="s">
        <v>142</v>
      </c>
      <c r="B30" s="22" t="s">
        <v>238</v>
      </c>
      <c r="C30" s="21" t="n">
        <v>16</v>
      </c>
      <c r="D30" s="23" t="n">
        <v>1531.8</v>
      </c>
      <c r="E30" s="23" t="n">
        <f aca="false">IF(C30=0,0,D30/C30)</f>
        <v>95.7375</v>
      </c>
      <c r="F30" s="44" t="n">
        <v>0.0584014518391997</v>
      </c>
    </row>
    <row r="31" customFormat="false" ht="15" hidden="false" customHeight="false" outlineLevel="0" collapsed="false">
      <c r="A31" s="22" t="s">
        <v>143</v>
      </c>
      <c r="B31" s="22" t="s">
        <v>239</v>
      </c>
      <c r="C31" s="21" t="n">
        <v>18</v>
      </c>
      <c r="D31" s="23" t="n">
        <v>3682.6</v>
      </c>
      <c r="E31" s="23" t="n">
        <f aca="false">IF(C31=0,0,D31/C31)</f>
        <v>204.588888888889</v>
      </c>
      <c r="F31" s="44" t="n">
        <v>0.306691651051426</v>
      </c>
    </row>
    <row r="32" customFormat="false" ht="15" hidden="false" customHeight="false" outlineLevel="0" collapsed="false">
      <c r="A32" s="22" t="s">
        <v>143</v>
      </c>
      <c r="B32" s="22" t="s">
        <v>240</v>
      </c>
      <c r="C32" s="21" t="n">
        <v>14</v>
      </c>
      <c r="D32" s="23" t="n">
        <v>3152.4</v>
      </c>
      <c r="E32" s="23" t="n">
        <f aca="false">IF(C32=0,0,D32/C32)</f>
        <v>225.171428571429</v>
      </c>
      <c r="F32" s="44" t="n">
        <v>0.262535915053092</v>
      </c>
    </row>
    <row r="33" customFormat="false" ht="15" hidden="false" customHeight="false" outlineLevel="0" collapsed="false">
      <c r="A33" s="22" t="s">
        <v>143</v>
      </c>
      <c r="B33" s="22" t="s">
        <v>241</v>
      </c>
      <c r="C33" s="21" t="n">
        <v>16</v>
      </c>
      <c r="D33" s="23" t="n">
        <v>2672.9</v>
      </c>
      <c r="E33" s="23" t="n">
        <f aca="false">IF(C33=0,0,D33/C33)</f>
        <v>167.05625</v>
      </c>
      <c r="F33" s="44" t="n">
        <v>0.222602540079117</v>
      </c>
    </row>
    <row r="34" customFormat="false" ht="15" hidden="false" customHeight="false" outlineLevel="0" collapsed="false">
      <c r="A34" s="22" t="s">
        <v>143</v>
      </c>
      <c r="B34" s="22" t="s">
        <v>242</v>
      </c>
      <c r="C34" s="21" t="n">
        <v>17</v>
      </c>
      <c r="D34" s="23" t="n">
        <v>2499.6</v>
      </c>
      <c r="E34" s="23" t="n">
        <f aca="false">IF(C34=0,0,D34/C34)</f>
        <v>147.035294117647</v>
      </c>
      <c r="F34" s="44" t="n">
        <v>0.208169893816365</v>
      </c>
    </row>
    <row r="35" customFormat="false" ht="15" hidden="false" customHeight="false" outlineLevel="0" collapsed="false">
      <c r="A35" s="22" t="s">
        <v>59</v>
      </c>
      <c r="B35" s="22" t="s">
        <v>243</v>
      </c>
      <c r="C35" s="21" t="n">
        <v>26</v>
      </c>
      <c r="D35" s="23" t="n">
        <v>290.3</v>
      </c>
      <c r="E35" s="23" t="n">
        <f aca="false">IF(C35=0,0,D35/C35)</f>
        <v>11.1653846153846</v>
      </c>
      <c r="F35" s="44" t="n">
        <v>1</v>
      </c>
    </row>
    <row r="36" customFormat="false" ht="15" hidden="false" customHeight="false" outlineLevel="0" collapsed="false">
      <c r="A36" s="22" t="s">
        <v>59</v>
      </c>
      <c r="B36" s="22" t="s">
        <v>244</v>
      </c>
      <c r="C36" s="21" t="n">
        <v>1</v>
      </c>
      <c r="D36" s="23" t="n">
        <v>0</v>
      </c>
      <c r="E36" s="23" t="n">
        <f aca="false">IF(C36=0,0,D36/C36)</f>
        <v>0</v>
      </c>
      <c r="F36" s="44" t="n">
        <v>0</v>
      </c>
    </row>
    <row r="37" customFormat="false" ht="15" hidden="false" customHeight="false" outlineLevel="0" collapsed="false">
      <c r="A37" s="22" t="s">
        <v>54</v>
      </c>
      <c r="B37" s="22" t="s">
        <v>245</v>
      </c>
      <c r="C37" s="21" t="n">
        <v>40</v>
      </c>
      <c r="D37" s="23" t="n">
        <v>10473.2</v>
      </c>
      <c r="E37" s="23" t="n">
        <f aca="false">IF(C37=0,0,D37/C37)</f>
        <v>261.83</v>
      </c>
      <c r="F37" s="44" t="n">
        <v>0.293361194598425</v>
      </c>
    </row>
    <row r="38" customFormat="false" ht="15" hidden="false" customHeight="false" outlineLevel="0" collapsed="false">
      <c r="A38" s="22" t="s">
        <v>54</v>
      </c>
      <c r="B38" s="22" t="s">
        <v>246</v>
      </c>
      <c r="C38" s="21" t="n">
        <v>18</v>
      </c>
      <c r="D38" s="23" t="n">
        <v>5598.2</v>
      </c>
      <c r="E38" s="23" t="n">
        <f aca="false">IF(C38=0,0,D38/C38)</f>
        <v>311.011111111111</v>
      </c>
      <c r="F38" s="44" t="n">
        <v>0.156809250238791</v>
      </c>
    </row>
    <row r="39" customFormat="false" ht="15" hidden="false" customHeight="false" outlineLevel="0" collapsed="false">
      <c r="A39" s="22" t="s">
        <v>54</v>
      </c>
      <c r="B39" s="22" t="s">
        <v>247</v>
      </c>
      <c r="C39" s="21" t="n">
        <v>18</v>
      </c>
      <c r="D39" s="23" t="n">
        <v>5579.1</v>
      </c>
      <c r="E39" s="23" t="n">
        <f aca="false">IF(C39=0,0,D39/C39)</f>
        <v>309.95</v>
      </c>
      <c r="F39" s="44" t="n">
        <v>0.156274246723454</v>
      </c>
    </row>
    <row r="40" customFormat="false" ht="15" hidden="false" customHeight="false" outlineLevel="0" collapsed="false">
      <c r="A40" s="22" t="s">
        <v>54</v>
      </c>
      <c r="B40" s="22" t="s">
        <v>248</v>
      </c>
      <c r="C40" s="21" t="n">
        <v>16</v>
      </c>
      <c r="D40" s="23" t="n">
        <v>4989</v>
      </c>
      <c r="E40" s="23" t="n">
        <f aca="false">IF(C40=0,0,D40/C40)</f>
        <v>311.8125</v>
      </c>
      <c r="F40" s="44" t="n">
        <v>0.139745159058506</v>
      </c>
    </row>
    <row r="41" customFormat="false" ht="15" hidden="false" customHeight="false" outlineLevel="0" collapsed="false">
      <c r="A41" s="22" t="s">
        <v>54</v>
      </c>
      <c r="B41" s="22" t="s">
        <v>249</v>
      </c>
      <c r="C41" s="21" t="n">
        <v>21</v>
      </c>
      <c r="D41" s="23" t="n">
        <v>4908.7</v>
      </c>
      <c r="E41" s="23" t="n">
        <f aca="false">IF(C41=0,0,D41/C41)</f>
        <v>233.747619047619</v>
      </c>
      <c r="F41" s="44" t="n">
        <v>0.137495903441669</v>
      </c>
    </row>
    <row r="42" customFormat="false" ht="15" hidden="false" customHeight="false" outlineLevel="0" collapsed="false">
      <c r="A42" s="22" t="s">
        <v>54</v>
      </c>
      <c r="B42" s="22" t="s">
        <v>250</v>
      </c>
      <c r="C42" s="21" t="n">
        <v>21</v>
      </c>
      <c r="D42" s="23" t="n">
        <v>4152.5</v>
      </c>
      <c r="E42" s="23" t="n">
        <f aca="false">IF(C42=0,0,D42/C42)</f>
        <v>197.738095238095</v>
      </c>
      <c r="F42" s="44" t="n">
        <v>0.116314245939155</v>
      </c>
    </row>
    <row r="43" customFormat="false" ht="15" hidden="false" customHeight="false" outlineLevel="0" collapsed="false">
      <c r="A43" s="22" t="s">
        <v>63</v>
      </c>
      <c r="B43" s="22" t="s">
        <v>251</v>
      </c>
      <c r="C43" s="21" t="n">
        <v>12</v>
      </c>
      <c r="D43" s="23" t="n">
        <v>4417.8</v>
      </c>
      <c r="E43" s="23" t="n">
        <f aca="false">IF(C43=0,0,D43/C43)</f>
        <v>368.15</v>
      </c>
      <c r="F43" s="44" t="n">
        <v>0.169969644155634</v>
      </c>
    </row>
    <row r="44" customFormat="false" ht="15" hidden="false" customHeight="false" outlineLevel="0" collapsed="false">
      <c r="A44" s="22" t="s">
        <v>63</v>
      </c>
      <c r="B44" s="22" t="s">
        <v>252</v>
      </c>
      <c r="C44" s="21" t="n">
        <v>12</v>
      </c>
      <c r="D44" s="23" t="n">
        <v>4238.8</v>
      </c>
      <c r="E44" s="23" t="n">
        <f aca="false">IF(C44=0,0,D44/C44)</f>
        <v>353.233333333333</v>
      </c>
      <c r="F44" s="44" t="n">
        <v>0.16308283028813</v>
      </c>
    </row>
    <row r="45" customFormat="false" ht="15" hidden="false" customHeight="false" outlineLevel="0" collapsed="false">
      <c r="A45" s="22" t="s">
        <v>63</v>
      </c>
      <c r="B45" s="22" t="s">
        <v>253</v>
      </c>
      <c r="C45" s="21" t="n">
        <v>13</v>
      </c>
      <c r="D45" s="23" t="n">
        <v>3835.4</v>
      </c>
      <c r="E45" s="23" t="n">
        <f aca="false">IF(C45=0,0,D45/C45)</f>
        <v>295.030769230769</v>
      </c>
      <c r="F45" s="44" t="n">
        <v>0.147562491102929</v>
      </c>
    </row>
    <row r="46" customFormat="false" ht="15" hidden="false" customHeight="false" outlineLevel="0" collapsed="false">
      <c r="A46" s="22" t="s">
        <v>63</v>
      </c>
      <c r="B46" s="22" t="s">
        <v>254</v>
      </c>
      <c r="C46" s="21" t="n">
        <v>13</v>
      </c>
      <c r="D46" s="23" t="n">
        <v>3614.2</v>
      </c>
      <c r="E46" s="23" t="n">
        <f aca="false">IF(C46=0,0,D46/C46)</f>
        <v>278.015384615385</v>
      </c>
      <c r="F46" s="44" t="n">
        <v>0.139052082010796</v>
      </c>
    </row>
    <row r="47" customFormat="false" ht="15" hidden="false" customHeight="false" outlineLevel="0" collapsed="false">
      <c r="A47" s="22" t="s">
        <v>63</v>
      </c>
      <c r="B47" s="22" t="s">
        <v>255</v>
      </c>
      <c r="C47" s="21" t="n">
        <v>10</v>
      </c>
      <c r="D47" s="23" t="n">
        <v>1996.6</v>
      </c>
      <c r="E47" s="23" t="n">
        <f aca="false">IF(C47=0,0,D47/C47)</f>
        <v>199.66</v>
      </c>
      <c r="F47" s="44" t="n">
        <v>0.0768168299880346</v>
      </c>
    </row>
    <row r="48" customFormat="false" ht="15" hidden="false" customHeight="false" outlineLevel="0" collapsed="false">
      <c r="A48" s="22" t="s">
        <v>63</v>
      </c>
      <c r="B48" s="22" t="s">
        <v>256</v>
      </c>
      <c r="C48" s="21" t="n">
        <v>15</v>
      </c>
      <c r="D48" s="23" t="n">
        <v>1889.6</v>
      </c>
      <c r="E48" s="23" t="n">
        <f aca="false">IF(C48=0,0,D48/C48)</f>
        <v>125.973333333333</v>
      </c>
      <c r="F48" s="44" t="n">
        <v>0.0727001311957279</v>
      </c>
    </row>
    <row r="49" customFormat="false" ht="15" hidden="false" customHeight="false" outlineLevel="0" collapsed="false">
      <c r="A49" s="22" t="s">
        <v>63</v>
      </c>
      <c r="B49" s="22" t="s">
        <v>257</v>
      </c>
      <c r="C49" s="21" t="n">
        <v>11</v>
      </c>
      <c r="D49" s="23" t="n">
        <v>1506.8</v>
      </c>
      <c r="E49" s="23" t="n">
        <f aca="false">IF(C49=0,0,D49/C49)</f>
        <v>136.981818181818</v>
      </c>
      <c r="F49" s="44" t="n">
        <v>0.0579723527125967</v>
      </c>
    </row>
    <row r="50" customFormat="false" ht="15" hidden="false" customHeight="false" outlineLevel="0" collapsed="false">
      <c r="A50" s="22" t="s">
        <v>63</v>
      </c>
      <c r="B50" s="22" t="s">
        <v>258</v>
      </c>
      <c r="C50" s="21" t="n">
        <v>10</v>
      </c>
      <c r="D50" s="23" t="n">
        <v>1321.6</v>
      </c>
      <c r="E50" s="23" t="n">
        <f aca="false">IF(C50=0,0,D50/C50)</f>
        <v>132.16</v>
      </c>
      <c r="F50" s="44" t="n">
        <v>0.050847001158062</v>
      </c>
    </row>
    <row r="51" customFormat="false" ht="15" hidden="false" customHeight="false" outlineLevel="0" collapsed="false">
      <c r="A51" s="22" t="s">
        <v>63</v>
      </c>
      <c r="B51" s="22" t="s">
        <v>259</v>
      </c>
      <c r="C51" s="21" t="n">
        <v>10</v>
      </c>
      <c r="D51" s="23" t="n">
        <v>1221</v>
      </c>
      <c r="E51" s="23" t="n">
        <f aca="false">IF(C51=0,0,D51/C51)</f>
        <v>122.1</v>
      </c>
      <c r="F51" s="44" t="n">
        <v>0.0469765348168839</v>
      </c>
    </row>
    <row r="52" customFormat="false" ht="15" hidden="false" customHeight="false" outlineLevel="0" collapsed="false">
      <c r="A52" s="22" t="s">
        <v>63</v>
      </c>
      <c r="B52" s="22" t="s">
        <v>260</v>
      </c>
      <c r="C52" s="21" t="n">
        <v>11</v>
      </c>
      <c r="D52" s="23" t="n">
        <v>689.8</v>
      </c>
      <c r="E52" s="23" t="n">
        <f aca="false">IF(C52=0,0,D52/C52)</f>
        <v>62.7090909090909</v>
      </c>
      <c r="F52" s="44" t="n">
        <v>0.0265392413732076</v>
      </c>
    </row>
    <row r="53" customFormat="false" ht="15" hidden="false" customHeight="false" outlineLevel="0" collapsed="false">
      <c r="A53" s="22" t="s">
        <v>63</v>
      </c>
      <c r="B53" s="22" t="s">
        <v>261</v>
      </c>
      <c r="C53" s="21" t="n">
        <v>7</v>
      </c>
      <c r="D53" s="23" t="n">
        <v>683</v>
      </c>
      <c r="E53" s="23" t="n">
        <f aca="false">IF(C53=0,0,D53/C53)</f>
        <v>97.5714285714286</v>
      </c>
      <c r="F53" s="44" t="n">
        <v>0.0262776193938834</v>
      </c>
    </row>
    <row r="54" customFormat="false" ht="15" hidden="false" customHeight="false" outlineLevel="0" collapsed="false">
      <c r="A54" s="22" t="s">
        <v>63</v>
      </c>
      <c r="B54" s="22" t="s">
        <v>262</v>
      </c>
      <c r="C54" s="21" t="n">
        <v>11</v>
      </c>
      <c r="D54" s="23" t="n">
        <v>325.8</v>
      </c>
      <c r="E54" s="23" t="n">
        <f aca="false">IF(C54=0,0,D54/C54)</f>
        <v>29.6181818181818</v>
      </c>
      <c r="F54" s="44" t="n">
        <v>0.0125347707152668</v>
      </c>
    </row>
    <row r="55" customFormat="false" ht="15" hidden="false" customHeight="false" outlineLevel="0" collapsed="false">
      <c r="A55" s="22" t="s">
        <v>63</v>
      </c>
      <c r="B55" s="22" t="s">
        <v>263</v>
      </c>
      <c r="C55" s="21" t="n">
        <v>10</v>
      </c>
      <c r="D55" s="23" t="n">
        <v>95</v>
      </c>
      <c r="E55" s="23" t="n">
        <f aca="false">IF(C55=0,0,D55/C55)</f>
        <v>9.5</v>
      </c>
      <c r="F55" s="44" t="n">
        <v>0.00365501294644059</v>
      </c>
    </row>
    <row r="56" customFormat="false" ht="15" hidden="false" customHeight="false" outlineLevel="0" collapsed="false">
      <c r="A56" s="22" t="s">
        <v>63</v>
      </c>
      <c r="B56" s="22" t="s">
        <v>264</v>
      </c>
      <c r="C56" s="21" t="n">
        <v>9</v>
      </c>
      <c r="D56" s="23" t="n">
        <v>72</v>
      </c>
      <c r="E56" s="23" t="n">
        <f aca="false">IF(C56=0,0,D56/C56)</f>
        <v>8</v>
      </c>
      <c r="F56" s="44" t="n">
        <v>0.00277011507519708</v>
      </c>
    </row>
    <row r="57" customFormat="false" ht="15" hidden="false" customHeight="false" outlineLevel="0" collapsed="false">
      <c r="A57" s="22" t="s">
        <v>63</v>
      </c>
      <c r="B57" s="22" t="s">
        <v>265</v>
      </c>
      <c r="C57" s="21" t="n">
        <v>7</v>
      </c>
      <c r="D57" s="23" t="n">
        <v>42.9</v>
      </c>
      <c r="E57" s="23" t="n">
        <f aca="false">IF(C57=0,0,D57/C57)</f>
        <v>6.12857142857143</v>
      </c>
      <c r="F57" s="44" t="n">
        <v>0.0016505268989716</v>
      </c>
    </row>
    <row r="58" customFormat="false" ht="15" hidden="false" customHeight="false" outlineLevel="0" collapsed="false">
      <c r="A58" s="22" t="s">
        <v>63</v>
      </c>
      <c r="B58" s="22" t="s">
        <v>266</v>
      </c>
      <c r="C58" s="21" t="n">
        <v>10</v>
      </c>
      <c r="D58" s="23" t="n">
        <v>38</v>
      </c>
      <c r="E58" s="23" t="n">
        <f aca="false">IF(C58=0,0,D58/C58)</f>
        <v>3.8</v>
      </c>
      <c r="F58" s="44" t="n">
        <v>0.00146200517857624</v>
      </c>
    </row>
    <row r="59" customFormat="false" ht="15" hidden="false" customHeight="false" outlineLevel="0" collapsed="false">
      <c r="A59" s="22" t="s">
        <v>63</v>
      </c>
      <c r="B59" s="22" t="s">
        <v>267</v>
      </c>
      <c r="C59" s="21" t="n">
        <v>11</v>
      </c>
      <c r="D59" s="23" t="n">
        <v>3.4</v>
      </c>
      <c r="E59" s="23" t="n">
        <f aca="false">IF(C59=0,0,D59/C59)</f>
        <v>0.309090909090909</v>
      </c>
      <c r="F59" s="44" t="n">
        <v>0.000130810989662084</v>
      </c>
    </row>
    <row r="60" customFormat="false" ht="15" hidden="false" customHeight="false" outlineLevel="0" collapsed="false">
      <c r="A60" s="22" t="s">
        <v>63</v>
      </c>
      <c r="B60" s="22" t="s">
        <v>268</v>
      </c>
      <c r="C60" s="21" t="n">
        <v>8</v>
      </c>
      <c r="D60" s="23" t="n">
        <v>0</v>
      </c>
      <c r="E60" s="23" t="n">
        <f aca="false">IF(C60=0,0,D60/C60)</f>
        <v>0</v>
      </c>
      <c r="F60" s="44" t="n">
        <v>0</v>
      </c>
    </row>
    <row r="61" customFormat="false" ht="15" hidden="false" customHeight="false" outlineLevel="0" collapsed="false">
      <c r="A61" s="22" t="s">
        <v>63</v>
      </c>
      <c r="B61" s="22" t="s">
        <v>269</v>
      </c>
      <c r="C61" s="21" t="n">
        <v>10</v>
      </c>
      <c r="D61" s="23" t="n">
        <v>0</v>
      </c>
      <c r="E61" s="23" t="n">
        <f aca="false">IF(C61=0,0,D61/C61)</f>
        <v>0</v>
      </c>
      <c r="F61" s="44" t="n">
        <v>0</v>
      </c>
    </row>
    <row r="62" customFormat="false" ht="15" hidden="false" customHeight="false" outlineLevel="0" collapsed="false">
      <c r="A62" s="22" t="s">
        <v>61</v>
      </c>
      <c r="B62" s="22" t="s">
        <v>270</v>
      </c>
      <c r="C62" s="21" t="n">
        <v>16</v>
      </c>
      <c r="D62" s="23" t="n">
        <v>2528.1</v>
      </c>
      <c r="E62" s="23" t="n">
        <f aca="false">IF(C62=0,0,D62/C62)</f>
        <v>158.00625</v>
      </c>
      <c r="F62" s="44" t="n">
        <v>0.537973740769902</v>
      </c>
    </row>
    <row r="63" customFormat="false" ht="15" hidden="false" customHeight="false" outlineLevel="0" collapsed="false">
      <c r="A63" s="22" t="s">
        <v>61</v>
      </c>
      <c r="B63" s="22" t="s">
        <v>271</v>
      </c>
      <c r="C63" s="21" t="n">
        <v>24</v>
      </c>
      <c r="D63" s="23" t="n">
        <v>1821.4</v>
      </c>
      <c r="E63" s="23" t="n">
        <f aca="false">IF(C63=0,0,D63/C63)</f>
        <v>75.8916666666667</v>
      </c>
      <c r="F63" s="44" t="n">
        <v>0.387589641010363</v>
      </c>
    </row>
    <row r="64" customFormat="false" ht="15" hidden="false" customHeight="false" outlineLevel="0" collapsed="false">
      <c r="A64" s="22" t="s">
        <v>61</v>
      </c>
      <c r="B64" s="22" t="s">
        <v>272</v>
      </c>
      <c r="C64" s="21" t="n">
        <v>13</v>
      </c>
      <c r="D64" s="23" t="n">
        <v>349.8</v>
      </c>
      <c r="E64" s="23" t="n">
        <f aca="false">IF(C64=0,0,D64/C64)</f>
        <v>26.9076923076923</v>
      </c>
      <c r="F64" s="44" t="n">
        <v>0.0744366182197349</v>
      </c>
    </row>
  </sheetData>
  <mergeCells count="1">
    <mergeCell ref="A1:F1"/>
  </mergeCells>
  <conditionalFormatting sqref="E4:E6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273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6" t="s">
        <v>274</v>
      </c>
      <c r="B3" s="6" t="s">
        <v>131</v>
      </c>
      <c r="C3" s="6" t="s">
        <v>210</v>
      </c>
      <c r="D3" s="6" t="s">
        <v>275</v>
      </c>
      <c r="E3" s="6" t="s">
        <v>276</v>
      </c>
      <c r="F3" s="6" t="s">
        <v>132</v>
      </c>
      <c r="G3" s="6" t="s">
        <v>277</v>
      </c>
    </row>
    <row r="4" customFormat="false" ht="15" hidden="false" customHeight="false" outlineLevel="0" collapsed="false">
      <c r="A4" s="21" t="n">
        <v>1</v>
      </c>
      <c r="B4" s="22" t="s">
        <v>52</v>
      </c>
      <c r="C4" s="22" t="s">
        <v>223</v>
      </c>
      <c r="D4" s="22" t="s">
        <v>278</v>
      </c>
      <c r="E4" s="22" t="s">
        <v>279</v>
      </c>
      <c r="F4" s="23" t="n">
        <v>1283.9</v>
      </c>
      <c r="G4" s="23" t="n">
        <v>1122</v>
      </c>
    </row>
    <row r="5" customFormat="false" ht="15" hidden="false" customHeight="false" outlineLevel="0" collapsed="false">
      <c r="A5" s="21" t="n">
        <v>2</v>
      </c>
      <c r="B5" s="22" t="s">
        <v>141</v>
      </c>
      <c r="C5" s="22" t="s">
        <v>214</v>
      </c>
      <c r="D5" s="22" t="s">
        <v>280</v>
      </c>
      <c r="E5" s="22" t="s">
        <v>281</v>
      </c>
      <c r="F5" s="23" t="n">
        <v>780</v>
      </c>
      <c r="G5" s="23" t="n">
        <v>572</v>
      </c>
    </row>
    <row r="6" customFormat="false" ht="15" hidden="false" customHeight="false" outlineLevel="0" collapsed="false">
      <c r="A6" s="21" t="n">
        <v>3</v>
      </c>
      <c r="B6" s="22" t="s">
        <v>52</v>
      </c>
      <c r="C6" s="22" t="s">
        <v>223</v>
      </c>
      <c r="D6" s="22" t="s">
        <v>282</v>
      </c>
      <c r="E6" s="22" t="s">
        <v>283</v>
      </c>
      <c r="F6" s="23" t="n">
        <v>712.5</v>
      </c>
      <c r="G6" s="23" t="n">
        <v>508</v>
      </c>
    </row>
    <row r="7" customFormat="false" ht="15" hidden="false" customHeight="false" outlineLevel="0" collapsed="false">
      <c r="A7" s="21" t="n">
        <v>4</v>
      </c>
      <c r="B7" s="22" t="s">
        <v>52</v>
      </c>
      <c r="C7" s="22" t="s">
        <v>223</v>
      </c>
      <c r="D7" s="22" t="s">
        <v>284</v>
      </c>
      <c r="E7" s="22" t="s">
        <v>283</v>
      </c>
      <c r="F7" s="23" t="n">
        <v>707.8</v>
      </c>
      <c r="G7" s="23" t="n">
        <v>441.2</v>
      </c>
    </row>
    <row r="8" customFormat="false" ht="15" hidden="false" customHeight="false" outlineLevel="0" collapsed="false">
      <c r="A8" s="21" t="n">
        <v>5</v>
      </c>
      <c r="B8" s="22" t="s">
        <v>141</v>
      </c>
      <c r="C8" s="22" t="s">
        <v>214</v>
      </c>
      <c r="D8" s="22" t="s">
        <v>285</v>
      </c>
      <c r="E8" s="22" t="s">
        <v>281</v>
      </c>
      <c r="F8" s="23" t="n">
        <v>674.6</v>
      </c>
      <c r="G8" s="23" t="n">
        <v>481.2</v>
      </c>
    </row>
    <row r="9" customFormat="false" ht="15" hidden="false" customHeight="false" outlineLevel="0" collapsed="false">
      <c r="A9" s="21" t="n">
        <v>6</v>
      </c>
      <c r="B9" s="22" t="s">
        <v>141</v>
      </c>
      <c r="C9" s="22" t="s">
        <v>214</v>
      </c>
      <c r="D9" s="22" t="s">
        <v>286</v>
      </c>
      <c r="E9" s="22" t="s">
        <v>281</v>
      </c>
      <c r="F9" s="23" t="n">
        <v>673.1</v>
      </c>
      <c r="G9" s="23" t="n">
        <v>472.4</v>
      </c>
    </row>
    <row r="10" customFormat="false" ht="15" hidden="false" customHeight="false" outlineLevel="0" collapsed="false">
      <c r="A10" s="21" t="n">
        <v>7</v>
      </c>
      <c r="B10" s="22" t="s">
        <v>141</v>
      </c>
      <c r="C10" s="22" t="s">
        <v>213</v>
      </c>
      <c r="D10" s="22" t="s">
        <v>287</v>
      </c>
      <c r="E10" s="22" t="s">
        <v>281</v>
      </c>
      <c r="F10" s="23" t="n">
        <v>670.9</v>
      </c>
      <c r="G10" s="23" t="n">
        <v>453.2</v>
      </c>
    </row>
    <row r="11" customFormat="false" ht="15" hidden="false" customHeight="false" outlineLevel="0" collapsed="false">
      <c r="A11" s="21" t="n">
        <v>8</v>
      </c>
      <c r="B11" s="22" t="s">
        <v>141</v>
      </c>
      <c r="C11" s="22" t="s">
        <v>214</v>
      </c>
      <c r="D11" s="22" t="s">
        <v>288</v>
      </c>
      <c r="E11" s="22" t="s">
        <v>281</v>
      </c>
      <c r="F11" s="23" t="n">
        <v>665</v>
      </c>
      <c r="G11" s="23" t="n">
        <v>460</v>
      </c>
    </row>
    <row r="12" customFormat="false" ht="15" hidden="false" customHeight="false" outlineLevel="0" collapsed="false">
      <c r="A12" s="21" t="n">
        <v>9</v>
      </c>
      <c r="B12" s="22" t="s">
        <v>141</v>
      </c>
      <c r="C12" s="22" t="s">
        <v>213</v>
      </c>
      <c r="D12" s="22" t="s">
        <v>289</v>
      </c>
      <c r="E12" s="22" t="s">
        <v>281</v>
      </c>
      <c r="F12" s="23" t="n">
        <v>657.5</v>
      </c>
      <c r="G12" s="23" t="n">
        <v>466.4</v>
      </c>
    </row>
    <row r="13" customFormat="false" ht="15" hidden="false" customHeight="false" outlineLevel="0" collapsed="false">
      <c r="A13" s="21" t="n">
        <v>10</v>
      </c>
      <c r="B13" s="22" t="s">
        <v>56</v>
      </c>
      <c r="C13" s="22" t="s">
        <v>227</v>
      </c>
      <c r="D13" s="22" t="s">
        <v>290</v>
      </c>
      <c r="E13" s="22" t="s">
        <v>291</v>
      </c>
      <c r="F13" s="23" t="n">
        <v>653.4</v>
      </c>
      <c r="G13" s="23" t="n">
        <v>340</v>
      </c>
    </row>
    <row r="14" customFormat="false" ht="15" hidden="false" customHeight="false" outlineLevel="0" collapsed="false">
      <c r="A14" s="21" t="n">
        <v>11</v>
      </c>
      <c r="B14" s="22" t="s">
        <v>141</v>
      </c>
      <c r="C14" s="22" t="s">
        <v>213</v>
      </c>
      <c r="D14" s="22" t="s">
        <v>292</v>
      </c>
      <c r="E14" s="22" t="s">
        <v>281</v>
      </c>
      <c r="F14" s="23" t="n">
        <v>633.5</v>
      </c>
      <c r="G14" s="23" t="n">
        <v>436.8</v>
      </c>
    </row>
    <row r="15" customFormat="false" ht="15" hidden="false" customHeight="false" outlineLevel="0" collapsed="false">
      <c r="A15" s="21" t="n">
        <v>12</v>
      </c>
      <c r="B15" s="22" t="s">
        <v>52</v>
      </c>
      <c r="C15" s="22" t="s">
        <v>223</v>
      </c>
      <c r="D15" s="22" t="s">
        <v>293</v>
      </c>
      <c r="E15" s="22" t="s">
        <v>294</v>
      </c>
      <c r="F15" s="23" t="n">
        <v>632.9</v>
      </c>
      <c r="G15" s="23" t="n">
        <v>463.2</v>
      </c>
    </row>
    <row r="16" customFormat="false" ht="15" hidden="false" customHeight="false" outlineLevel="0" collapsed="false">
      <c r="A16" s="21" t="n">
        <v>13</v>
      </c>
      <c r="B16" s="22" t="s">
        <v>141</v>
      </c>
      <c r="C16" s="22" t="s">
        <v>212</v>
      </c>
      <c r="D16" s="22" t="s">
        <v>295</v>
      </c>
      <c r="E16" s="22" t="s">
        <v>294</v>
      </c>
      <c r="F16" s="23" t="n">
        <v>632.8</v>
      </c>
      <c r="G16" s="23" t="n">
        <v>409.2</v>
      </c>
    </row>
    <row r="17" customFormat="false" ht="15" hidden="false" customHeight="false" outlineLevel="0" collapsed="false">
      <c r="A17" s="21" t="n">
        <v>14</v>
      </c>
      <c r="B17" s="22" t="s">
        <v>56</v>
      </c>
      <c r="C17" s="22" t="s">
        <v>227</v>
      </c>
      <c r="D17" s="22" t="s">
        <v>296</v>
      </c>
      <c r="E17" s="22" t="s">
        <v>291</v>
      </c>
      <c r="F17" s="23" t="n">
        <v>630.9</v>
      </c>
      <c r="G17" s="23" t="n">
        <v>343.2</v>
      </c>
    </row>
    <row r="18" customFormat="false" ht="15" hidden="false" customHeight="false" outlineLevel="0" collapsed="false">
      <c r="A18" s="21" t="n">
        <v>15</v>
      </c>
      <c r="B18" s="22" t="s">
        <v>52</v>
      </c>
      <c r="C18" s="22" t="s">
        <v>220</v>
      </c>
      <c r="D18" s="22" t="s">
        <v>297</v>
      </c>
      <c r="E18" s="22" t="s">
        <v>298</v>
      </c>
      <c r="F18" s="23" t="n">
        <v>630.7</v>
      </c>
      <c r="G18" s="23" t="n">
        <v>410</v>
      </c>
    </row>
    <row r="19" customFormat="false" ht="15" hidden="false" customHeight="false" outlineLevel="0" collapsed="false">
      <c r="A19" s="21" t="n">
        <v>16</v>
      </c>
      <c r="B19" s="22" t="s">
        <v>141</v>
      </c>
      <c r="C19" s="22" t="s">
        <v>213</v>
      </c>
      <c r="D19" s="22" t="s">
        <v>299</v>
      </c>
      <c r="E19" s="22" t="s">
        <v>281</v>
      </c>
      <c r="F19" s="23" t="n">
        <v>627.9</v>
      </c>
      <c r="G19" s="23" t="n">
        <v>422.4</v>
      </c>
    </row>
    <row r="20" customFormat="false" ht="15" hidden="false" customHeight="false" outlineLevel="0" collapsed="false">
      <c r="A20" s="21" t="n">
        <v>17</v>
      </c>
      <c r="B20" s="22" t="s">
        <v>141</v>
      </c>
      <c r="C20" s="22" t="s">
        <v>212</v>
      </c>
      <c r="D20" s="22" t="s">
        <v>300</v>
      </c>
      <c r="E20" s="22" t="s">
        <v>294</v>
      </c>
      <c r="F20" s="23" t="n">
        <v>624.7</v>
      </c>
      <c r="G20" s="23" t="n">
        <v>390</v>
      </c>
    </row>
    <row r="21" customFormat="false" ht="15" hidden="false" customHeight="false" outlineLevel="0" collapsed="false">
      <c r="A21" s="21" t="n">
        <v>18</v>
      </c>
      <c r="B21" s="22" t="s">
        <v>141</v>
      </c>
      <c r="C21" s="22" t="s">
        <v>214</v>
      </c>
      <c r="D21" s="22" t="s">
        <v>301</v>
      </c>
      <c r="E21" s="22" t="s">
        <v>281</v>
      </c>
      <c r="F21" s="23" t="n">
        <v>624.5</v>
      </c>
      <c r="G21" s="23" t="n">
        <v>432</v>
      </c>
    </row>
    <row r="22" customFormat="false" ht="15" hidden="false" customHeight="false" outlineLevel="0" collapsed="false">
      <c r="A22" s="21" t="n">
        <v>19</v>
      </c>
      <c r="B22" s="22" t="s">
        <v>52</v>
      </c>
      <c r="C22" s="22" t="s">
        <v>223</v>
      </c>
      <c r="D22" s="22" t="s">
        <v>302</v>
      </c>
      <c r="E22" s="22" t="s">
        <v>283</v>
      </c>
      <c r="F22" s="23" t="n">
        <v>624.3</v>
      </c>
      <c r="G22" s="23" t="n">
        <v>459.6</v>
      </c>
    </row>
    <row r="23" customFormat="false" ht="15" hidden="false" customHeight="false" outlineLevel="0" collapsed="false">
      <c r="A23" s="21" t="n">
        <v>20</v>
      </c>
      <c r="B23" s="22" t="s">
        <v>141</v>
      </c>
      <c r="C23" s="22" t="s">
        <v>212</v>
      </c>
      <c r="D23" s="22" t="s">
        <v>303</v>
      </c>
      <c r="E23" s="22" t="s">
        <v>294</v>
      </c>
      <c r="F23" s="23" t="n">
        <v>619.2</v>
      </c>
      <c r="G23" s="23" t="n">
        <v>390.8</v>
      </c>
    </row>
    <row r="24" customFormat="false" ht="15" hidden="false" customHeight="false" outlineLevel="0" collapsed="false">
      <c r="A24" s="21" t="n">
        <v>21</v>
      </c>
      <c r="B24" s="22" t="s">
        <v>56</v>
      </c>
      <c r="C24" s="22" t="s">
        <v>227</v>
      </c>
      <c r="D24" s="22" t="s">
        <v>304</v>
      </c>
      <c r="E24" s="22" t="s">
        <v>305</v>
      </c>
      <c r="F24" s="23" t="n">
        <v>617.7</v>
      </c>
      <c r="G24" s="23" t="n">
        <v>395.6</v>
      </c>
    </row>
    <row r="25" customFormat="false" ht="15" hidden="false" customHeight="false" outlineLevel="0" collapsed="false">
      <c r="A25" s="21" t="n">
        <v>22</v>
      </c>
      <c r="B25" s="22" t="s">
        <v>52</v>
      </c>
      <c r="C25" s="22" t="s">
        <v>220</v>
      </c>
      <c r="D25" s="22" t="s">
        <v>306</v>
      </c>
      <c r="E25" s="22" t="s">
        <v>307</v>
      </c>
      <c r="F25" s="23" t="n">
        <v>617.1</v>
      </c>
      <c r="G25" s="23" t="n">
        <v>436</v>
      </c>
    </row>
    <row r="26" customFormat="false" ht="15" hidden="false" customHeight="false" outlineLevel="0" collapsed="false">
      <c r="A26" s="21" t="n">
        <v>23</v>
      </c>
      <c r="B26" s="22" t="s">
        <v>141</v>
      </c>
      <c r="C26" s="22" t="s">
        <v>213</v>
      </c>
      <c r="D26" s="22" t="s">
        <v>308</v>
      </c>
      <c r="E26" s="22" t="s">
        <v>281</v>
      </c>
      <c r="F26" s="23" t="n">
        <v>616.5</v>
      </c>
      <c r="G26" s="23" t="n">
        <v>402.4</v>
      </c>
    </row>
    <row r="27" customFormat="false" ht="15" hidden="false" customHeight="false" outlineLevel="0" collapsed="false">
      <c r="A27" s="21" t="n">
        <v>24</v>
      </c>
      <c r="B27" s="22" t="s">
        <v>141</v>
      </c>
      <c r="C27" s="22" t="s">
        <v>214</v>
      </c>
      <c r="D27" s="22" t="s">
        <v>309</v>
      </c>
      <c r="E27" s="22" t="s">
        <v>281</v>
      </c>
      <c r="F27" s="23" t="n">
        <v>615.7</v>
      </c>
      <c r="G27" s="23" t="n">
        <v>433.6</v>
      </c>
    </row>
    <row r="28" customFormat="false" ht="15" hidden="false" customHeight="false" outlineLevel="0" collapsed="false">
      <c r="A28" s="21" t="n">
        <v>25</v>
      </c>
      <c r="B28" s="22" t="s">
        <v>56</v>
      </c>
      <c r="C28" s="22" t="s">
        <v>227</v>
      </c>
      <c r="D28" s="22" t="s">
        <v>310</v>
      </c>
      <c r="E28" s="22" t="s">
        <v>291</v>
      </c>
      <c r="F28" s="23" t="n">
        <v>613.9</v>
      </c>
      <c r="G28" s="23" t="n">
        <v>346</v>
      </c>
    </row>
    <row r="29" customFormat="false" ht="15" hidden="false" customHeight="false" outlineLevel="0" collapsed="false">
      <c r="A29" s="21" t="n">
        <v>26</v>
      </c>
      <c r="B29" s="22" t="s">
        <v>141</v>
      </c>
      <c r="C29" s="22" t="s">
        <v>212</v>
      </c>
      <c r="D29" s="22" t="s">
        <v>311</v>
      </c>
      <c r="E29" s="22" t="s">
        <v>294</v>
      </c>
      <c r="F29" s="23" t="n">
        <v>612.7</v>
      </c>
      <c r="G29" s="23" t="n">
        <v>366.8</v>
      </c>
    </row>
    <row r="30" customFormat="false" ht="15" hidden="false" customHeight="false" outlineLevel="0" collapsed="false">
      <c r="A30" s="21" t="n">
        <v>27</v>
      </c>
      <c r="B30" s="22" t="s">
        <v>141</v>
      </c>
      <c r="C30" s="22" t="s">
        <v>213</v>
      </c>
      <c r="D30" s="22" t="s">
        <v>312</v>
      </c>
      <c r="E30" s="22" t="s">
        <v>281</v>
      </c>
      <c r="F30" s="23" t="n">
        <v>612.2</v>
      </c>
      <c r="G30" s="23" t="n">
        <v>424.8</v>
      </c>
    </row>
    <row r="31" customFormat="false" ht="15" hidden="false" customHeight="false" outlineLevel="0" collapsed="false">
      <c r="A31" s="21" t="n">
        <v>28</v>
      </c>
      <c r="B31" s="22" t="s">
        <v>52</v>
      </c>
      <c r="C31" s="22" t="s">
        <v>220</v>
      </c>
      <c r="D31" s="22" t="s">
        <v>313</v>
      </c>
      <c r="E31" s="22" t="s">
        <v>307</v>
      </c>
      <c r="F31" s="23" t="n">
        <v>611.8</v>
      </c>
      <c r="G31" s="23" t="n">
        <v>421.6</v>
      </c>
    </row>
    <row r="32" customFormat="false" ht="15" hidden="false" customHeight="false" outlineLevel="0" collapsed="false">
      <c r="A32" s="21" t="n">
        <v>29</v>
      </c>
      <c r="B32" s="22" t="s">
        <v>141</v>
      </c>
      <c r="C32" s="22" t="s">
        <v>212</v>
      </c>
      <c r="D32" s="22" t="s">
        <v>314</v>
      </c>
      <c r="E32" s="22" t="s">
        <v>294</v>
      </c>
      <c r="F32" s="23" t="n">
        <v>611.2</v>
      </c>
      <c r="G32" s="23" t="n">
        <v>384.8</v>
      </c>
    </row>
    <row r="33" customFormat="false" ht="15" hidden="false" customHeight="false" outlineLevel="0" collapsed="false">
      <c r="A33" s="21" t="n">
        <v>30</v>
      </c>
      <c r="B33" s="22" t="s">
        <v>52</v>
      </c>
      <c r="C33" s="22" t="s">
        <v>223</v>
      </c>
      <c r="D33" s="22" t="s">
        <v>315</v>
      </c>
      <c r="E33" s="22" t="s">
        <v>294</v>
      </c>
      <c r="F33" s="23" t="n">
        <v>609.5</v>
      </c>
      <c r="G33" s="23" t="n">
        <v>447.2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316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131</v>
      </c>
      <c r="B3" s="6" t="s">
        <v>132</v>
      </c>
      <c r="C3" s="6" t="s">
        <v>317</v>
      </c>
      <c r="D3" s="6" t="s">
        <v>318</v>
      </c>
      <c r="E3" s="6" t="s">
        <v>319</v>
      </c>
    </row>
    <row r="4" customFormat="false" ht="79.5" hidden="false" customHeight="true" outlineLevel="0" collapsed="false">
      <c r="A4" s="46" t="s">
        <v>52</v>
      </c>
      <c r="B4" s="47" t="n">
        <v>45752.2</v>
      </c>
      <c r="C4" s="48" t="s">
        <v>320</v>
      </c>
      <c r="D4" s="49" t="s">
        <v>321</v>
      </c>
      <c r="E4" s="50" t="s">
        <v>322</v>
      </c>
    </row>
    <row r="5" customFormat="false" ht="79.5" hidden="false" customHeight="true" outlineLevel="0" collapsed="false">
      <c r="A5" s="46" t="s">
        <v>56</v>
      </c>
      <c r="B5" s="47" t="n">
        <v>43157</v>
      </c>
      <c r="C5" s="48" t="s">
        <v>323</v>
      </c>
      <c r="D5" s="49" t="s">
        <v>324</v>
      </c>
      <c r="E5" s="50" t="s">
        <v>322</v>
      </c>
    </row>
    <row r="6" customFormat="false" ht="79.5" hidden="false" customHeight="true" outlineLevel="0" collapsed="false">
      <c r="A6" s="46" t="s">
        <v>141</v>
      </c>
      <c r="B6" s="47" t="n">
        <v>36445.5</v>
      </c>
      <c r="C6" s="48" t="s">
        <v>325</v>
      </c>
      <c r="D6" s="49" t="s">
        <v>326</v>
      </c>
      <c r="E6" s="50" t="s">
        <v>322</v>
      </c>
    </row>
    <row r="7" customFormat="false" ht="79.5" hidden="false" customHeight="true" outlineLevel="0" collapsed="false">
      <c r="A7" s="46" t="s">
        <v>54</v>
      </c>
      <c r="B7" s="47" t="n">
        <v>35700.7</v>
      </c>
      <c r="C7" s="48" t="s">
        <v>327</v>
      </c>
      <c r="D7" s="49" t="s">
        <v>328</v>
      </c>
      <c r="E7" s="50" t="s">
        <v>322</v>
      </c>
    </row>
    <row r="8" customFormat="false" ht="79.5" hidden="false" customHeight="true" outlineLevel="0" collapsed="false">
      <c r="A8" s="46" t="s">
        <v>142</v>
      </c>
      <c r="B8" s="47" t="n">
        <v>26228.8</v>
      </c>
      <c r="C8" s="48" t="s">
        <v>329</v>
      </c>
      <c r="D8" s="49" t="s">
        <v>330</v>
      </c>
      <c r="E8" s="50" t="s">
        <v>322</v>
      </c>
    </row>
    <row r="9" customFormat="false" ht="79.5" hidden="false" customHeight="true" outlineLevel="0" collapsed="false">
      <c r="A9" s="46" t="s">
        <v>63</v>
      </c>
      <c r="B9" s="47" t="n">
        <v>25991.7</v>
      </c>
      <c r="C9" s="48" t="s">
        <v>331</v>
      </c>
      <c r="D9" s="49" t="s">
        <v>332</v>
      </c>
      <c r="E9" s="50" t="s">
        <v>322</v>
      </c>
    </row>
    <row r="10" customFormat="false" ht="79.5" hidden="false" customHeight="true" outlineLevel="0" collapsed="false">
      <c r="A10" s="46" t="s">
        <v>143</v>
      </c>
      <c r="B10" s="47" t="n">
        <v>12007.5</v>
      </c>
      <c r="C10" s="48" t="s">
        <v>329</v>
      </c>
      <c r="D10" s="49" t="s">
        <v>333</v>
      </c>
      <c r="E10" s="50" t="s">
        <v>322</v>
      </c>
    </row>
    <row r="11" customFormat="false" ht="79.5" hidden="false" customHeight="true" outlineLevel="0" collapsed="false">
      <c r="A11" s="46" t="s">
        <v>144</v>
      </c>
      <c r="B11" s="47" t="n">
        <v>10852.8</v>
      </c>
      <c r="C11" s="48" t="s">
        <v>329</v>
      </c>
      <c r="D11" s="49" t="s">
        <v>334</v>
      </c>
      <c r="E11" s="50" t="s">
        <v>322</v>
      </c>
    </row>
    <row r="12" customFormat="false" ht="79.5" hidden="false" customHeight="true" outlineLevel="0" collapsed="false">
      <c r="A12" s="46" t="s">
        <v>61</v>
      </c>
      <c r="B12" s="47" t="n">
        <v>4699.3</v>
      </c>
      <c r="C12" s="48" t="s">
        <v>329</v>
      </c>
      <c r="D12" s="49" t="s">
        <v>335</v>
      </c>
      <c r="E12" s="50" t="s">
        <v>322</v>
      </c>
    </row>
    <row r="13" customFormat="false" ht="79.5" hidden="false" customHeight="true" outlineLevel="0" collapsed="false">
      <c r="A13" s="46" t="s">
        <v>59</v>
      </c>
      <c r="B13" s="47" t="n">
        <v>290.3</v>
      </c>
      <c r="C13" s="48" t="s">
        <v>329</v>
      </c>
      <c r="D13" s="49" t="s">
        <v>336</v>
      </c>
      <c r="E13" s="51" t="s">
        <v>337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338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6" t="s">
        <v>276</v>
      </c>
      <c r="B3" s="6" t="s">
        <v>134</v>
      </c>
      <c r="C3" s="6" t="s">
        <v>132</v>
      </c>
      <c r="D3" s="6" t="s">
        <v>135</v>
      </c>
      <c r="E3" s="6" t="s">
        <v>194</v>
      </c>
      <c r="F3" s="6" t="s">
        <v>193</v>
      </c>
    </row>
    <row r="4" customFormat="false" ht="15" hidden="false" customHeight="false" outlineLevel="0" collapsed="false">
      <c r="A4" s="22" t="s">
        <v>339</v>
      </c>
      <c r="B4" s="21" t="n">
        <v>192</v>
      </c>
      <c r="C4" s="23" t="n">
        <v>43399.3</v>
      </c>
      <c r="D4" s="23" t="n">
        <v>226.04</v>
      </c>
      <c r="E4" s="44" t="n">
        <v>0.924</v>
      </c>
      <c r="F4" s="44" t="n">
        <v>0.416</v>
      </c>
    </row>
    <row r="5" customFormat="false" ht="15" hidden="false" customHeight="false" outlineLevel="0" collapsed="false">
      <c r="A5" s="22" t="s">
        <v>340</v>
      </c>
      <c r="B5" s="21" t="n">
        <v>131</v>
      </c>
      <c r="C5" s="23" t="n">
        <v>34820.5</v>
      </c>
      <c r="D5" s="23" t="n">
        <v>265.81</v>
      </c>
      <c r="E5" s="44" t="n">
        <v>0.879</v>
      </c>
      <c r="F5" s="44" t="n">
        <v>0.315</v>
      </c>
    </row>
    <row r="6" customFormat="false" ht="15" hidden="false" customHeight="false" outlineLevel="0" collapsed="false">
      <c r="A6" s="22" t="s">
        <v>341</v>
      </c>
      <c r="B6" s="21" t="n">
        <v>117</v>
      </c>
      <c r="C6" s="23" t="n">
        <v>32977.4</v>
      </c>
      <c r="D6" s="23" t="n">
        <v>281.86</v>
      </c>
      <c r="E6" s="44" t="n">
        <v>0.906</v>
      </c>
      <c r="F6" s="44" t="n">
        <v>0.352</v>
      </c>
    </row>
    <row r="7" customFormat="false" ht="15" hidden="false" customHeight="false" outlineLevel="0" collapsed="false">
      <c r="A7" s="22" t="s">
        <v>342</v>
      </c>
      <c r="B7" s="21" t="n">
        <v>86</v>
      </c>
      <c r="C7" s="23" t="n">
        <v>19205.6</v>
      </c>
      <c r="D7" s="23" t="n">
        <v>223.32</v>
      </c>
      <c r="E7" s="44" t="n">
        <v>0.936</v>
      </c>
      <c r="F7" s="44" t="n">
        <v>0.376</v>
      </c>
    </row>
    <row r="8" customFormat="false" ht="15" hidden="false" customHeight="false" outlineLevel="0" collapsed="false">
      <c r="A8" s="22" t="s">
        <v>343</v>
      </c>
      <c r="B8" s="21" t="n">
        <v>50</v>
      </c>
      <c r="C8" s="23" t="n">
        <v>16502.2</v>
      </c>
      <c r="D8" s="23" t="n">
        <v>330.04</v>
      </c>
      <c r="E8" s="44" t="n">
        <v>0.929</v>
      </c>
      <c r="F8" s="44" t="n">
        <v>0.293</v>
      </c>
    </row>
    <row r="9" customFormat="false" ht="15" hidden="false" customHeight="false" outlineLevel="0" collapsed="false">
      <c r="A9" s="22" t="s">
        <v>344</v>
      </c>
      <c r="B9" s="21" t="n">
        <v>73</v>
      </c>
      <c r="C9" s="23" t="n">
        <v>15084.5</v>
      </c>
      <c r="D9" s="23" t="n">
        <v>206.64</v>
      </c>
      <c r="E9" s="44" t="n">
        <v>0.918</v>
      </c>
      <c r="F9" s="44" t="n">
        <v>0.306</v>
      </c>
    </row>
    <row r="10" customFormat="false" ht="15" hidden="false" customHeight="false" outlineLevel="0" collapsed="false">
      <c r="A10" s="22" t="s">
        <v>345</v>
      </c>
      <c r="B10" s="21" t="n">
        <v>141</v>
      </c>
      <c r="C10" s="23" t="n">
        <v>15062</v>
      </c>
      <c r="D10" s="23" t="n">
        <v>106.82</v>
      </c>
      <c r="E10" s="44" t="n">
        <v>0.904</v>
      </c>
      <c r="F10" s="44" t="n">
        <v>0.32</v>
      </c>
    </row>
    <row r="11" customFormat="false" ht="15" hidden="false" customHeight="false" outlineLevel="0" collapsed="false">
      <c r="A11" s="22" t="s">
        <v>346</v>
      </c>
      <c r="B11" s="21" t="n">
        <v>60</v>
      </c>
      <c r="C11" s="23" t="n">
        <v>11752.9</v>
      </c>
      <c r="D11" s="23" t="n">
        <v>195.88</v>
      </c>
      <c r="E11" s="44" t="n">
        <v>0.909</v>
      </c>
      <c r="F11" s="44" t="n">
        <v>0.35</v>
      </c>
    </row>
    <row r="12" customFormat="false" ht="15" hidden="false" customHeight="false" outlineLevel="0" collapsed="false">
      <c r="A12" s="22" t="s">
        <v>347</v>
      </c>
      <c r="B12" s="21" t="n">
        <v>32</v>
      </c>
      <c r="C12" s="23" t="n">
        <v>7817.5</v>
      </c>
      <c r="D12" s="23" t="n">
        <v>244.3</v>
      </c>
      <c r="E12" s="44" t="n">
        <v>0.941</v>
      </c>
      <c r="F12" s="44" t="n">
        <v>0.286</v>
      </c>
    </row>
    <row r="13" customFormat="false" ht="15" hidden="false" customHeight="false" outlineLevel="0" collapsed="false">
      <c r="A13" s="22" t="s">
        <v>348</v>
      </c>
      <c r="B13" s="21" t="n">
        <v>32</v>
      </c>
      <c r="C13" s="23" t="n">
        <v>7734.2</v>
      </c>
      <c r="D13" s="23" t="n">
        <v>241.69</v>
      </c>
      <c r="E13" s="44" t="n">
        <v>0.908</v>
      </c>
      <c r="F13" s="44" t="n">
        <v>0.32</v>
      </c>
    </row>
    <row r="14" customFormat="false" ht="15" hidden="false" customHeight="false" outlineLevel="0" collapsed="false">
      <c r="A14" s="22" t="s">
        <v>349</v>
      </c>
      <c r="B14" s="21" t="n">
        <v>40</v>
      </c>
      <c r="C14" s="23" t="n">
        <v>6923.8</v>
      </c>
      <c r="D14" s="23" t="n">
        <v>173.1</v>
      </c>
      <c r="E14" s="44" t="n">
        <v>0.926</v>
      </c>
      <c r="F14" s="44" t="n">
        <v>0.286</v>
      </c>
    </row>
    <row r="15" customFormat="false" ht="15" hidden="false" customHeight="false" outlineLevel="0" collapsed="false">
      <c r="A15" s="22" t="s">
        <v>350</v>
      </c>
      <c r="B15" s="21" t="n">
        <v>25</v>
      </c>
      <c r="C15" s="23" t="n">
        <v>5477.2</v>
      </c>
      <c r="D15" s="23" t="n">
        <v>219.09</v>
      </c>
      <c r="E15" s="44" t="n">
        <v>0.9</v>
      </c>
      <c r="F15" s="44" t="n">
        <v>0.359</v>
      </c>
    </row>
    <row r="16" customFormat="false" ht="15" hidden="false" customHeight="false" outlineLevel="0" collapsed="false">
      <c r="A16" s="22" t="s">
        <v>351</v>
      </c>
      <c r="B16" s="21" t="n">
        <v>23</v>
      </c>
      <c r="C16" s="23" t="n">
        <v>3466.7</v>
      </c>
      <c r="D16" s="23" t="n">
        <v>150.73</v>
      </c>
      <c r="E16" s="44" t="n">
        <v>0</v>
      </c>
      <c r="F16" s="44" t="n">
        <v>0.021</v>
      </c>
    </row>
    <row r="17" customFormat="false" ht="15" hidden="false" customHeight="false" outlineLevel="0" collapsed="false">
      <c r="A17" s="22" t="s">
        <v>352</v>
      </c>
      <c r="B17" s="21" t="n">
        <v>15</v>
      </c>
      <c r="C17" s="23" t="n">
        <v>3464.9</v>
      </c>
      <c r="D17" s="23" t="n">
        <v>230.99</v>
      </c>
      <c r="E17" s="44" t="n">
        <v>0.949</v>
      </c>
      <c r="F17" s="44" t="n">
        <v>0.179</v>
      </c>
    </row>
    <row r="18" customFormat="false" ht="15" hidden="false" customHeight="false" outlineLevel="0" collapsed="false">
      <c r="A18" s="22" t="s">
        <v>353</v>
      </c>
      <c r="B18" s="21" t="n">
        <v>8</v>
      </c>
      <c r="C18" s="23" t="n">
        <v>3457</v>
      </c>
      <c r="D18" s="23" t="n">
        <v>432.12</v>
      </c>
      <c r="E18" s="44" t="n">
        <v>0.926</v>
      </c>
      <c r="F18" s="44" t="n">
        <v>0.321</v>
      </c>
    </row>
    <row r="19" customFormat="false" ht="15" hidden="false" customHeight="false" outlineLevel="0" collapsed="false">
      <c r="A19" s="22" t="s">
        <v>354</v>
      </c>
      <c r="B19" s="21" t="n">
        <v>6</v>
      </c>
      <c r="C19" s="23" t="n">
        <v>3376.4</v>
      </c>
      <c r="D19" s="23" t="n">
        <v>562.73</v>
      </c>
      <c r="E19" s="44" t="n">
        <v>0.929</v>
      </c>
      <c r="F19" s="44" t="n">
        <v>0.347</v>
      </c>
    </row>
    <row r="20" customFormat="false" ht="15" hidden="false" customHeight="false" outlineLevel="0" collapsed="false">
      <c r="A20" s="22" t="s">
        <v>355</v>
      </c>
      <c r="B20" s="21" t="n">
        <v>6</v>
      </c>
      <c r="C20" s="23" t="n">
        <v>2967.2</v>
      </c>
      <c r="D20" s="23" t="n">
        <v>494.53</v>
      </c>
      <c r="E20" s="44" t="n">
        <v>0.875</v>
      </c>
      <c r="F20" s="44" t="n">
        <v>0.391</v>
      </c>
    </row>
    <row r="21" customFormat="false" ht="15" hidden="false" customHeight="false" outlineLevel="0" collapsed="false">
      <c r="A21" s="22" t="s">
        <v>356</v>
      </c>
      <c r="B21" s="21" t="n">
        <v>19</v>
      </c>
      <c r="C21" s="23" t="n">
        <v>2947.2</v>
      </c>
      <c r="D21" s="23" t="n">
        <v>155.12</v>
      </c>
      <c r="E21" s="44" t="n">
        <v>0.908</v>
      </c>
      <c r="F21" s="44" t="n">
        <v>0.323</v>
      </c>
    </row>
    <row r="22" customFormat="false" ht="15" hidden="false" customHeight="false" outlineLevel="0" collapsed="false">
      <c r="A22" s="22" t="s">
        <v>357</v>
      </c>
      <c r="B22" s="21" t="n">
        <v>5</v>
      </c>
      <c r="C22" s="23" t="n">
        <v>2221</v>
      </c>
      <c r="D22" s="23" t="n">
        <v>444.2</v>
      </c>
      <c r="E22" s="44" t="n">
        <v>0.926</v>
      </c>
      <c r="F22" s="44" t="n">
        <v>0.376</v>
      </c>
    </row>
    <row r="23" customFormat="false" ht="15" hidden="false" customHeight="false" outlineLevel="0" collapsed="false">
      <c r="A23" s="22" t="s">
        <v>358</v>
      </c>
      <c r="B23" s="21" t="n">
        <v>14</v>
      </c>
      <c r="C23" s="23" t="n">
        <v>1345.8</v>
      </c>
      <c r="D23" s="23" t="n">
        <v>96.13</v>
      </c>
      <c r="E23" s="44" t="n">
        <v>0.934</v>
      </c>
      <c r="F23" s="44" t="n">
        <v>0.249</v>
      </c>
    </row>
    <row r="24" customFormat="false" ht="15" hidden="false" customHeight="false" outlineLevel="0" collapsed="false">
      <c r="A24" s="22" t="s">
        <v>359</v>
      </c>
      <c r="B24" s="21" t="n">
        <v>1</v>
      </c>
      <c r="C24" s="23" t="n">
        <v>351.8</v>
      </c>
      <c r="D24" s="23" t="n">
        <v>351.8</v>
      </c>
      <c r="E24" s="44" t="n">
        <v>0.94</v>
      </c>
      <c r="F24" s="44" t="n">
        <v>0.353</v>
      </c>
    </row>
    <row r="25" customFormat="false" ht="15" hidden="false" customHeight="false" outlineLevel="0" collapsed="false">
      <c r="A25" s="22" t="s">
        <v>360</v>
      </c>
      <c r="B25" s="21" t="n">
        <v>1</v>
      </c>
      <c r="C25" s="23" t="n">
        <v>311.6</v>
      </c>
      <c r="D25" s="23" t="n">
        <v>311.6</v>
      </c>
      <c r="E25" s="44" t="n">
        <v>0.9</v>
      </c>
      <c r="F25" s="44" t="n">
        <v>0.342</v>
      </c>
    </row>
    <row r="26" customFormat="false" ht="15" hidden="false" customHeight="false" outlineLevel="0" collapsed="false">
      <c r="A26" s="22" t="s">
        <v>361</v>
      </c>
      <c r="B26" s="21" t="n">
        <v>1</v>
      </c>
      <c r="C26" s="23" t="n">
        <v>168.8</v>
      </c>
      <c r="D26" s="23" t="n">
        <v>168.8</v>
      </c>
      <c r="E26" s="44" t="n">
        <v>0.852</v>
      </c>
      <c r="F26" s="44" t="n">
        <v>0.183</v>
      </c>
    </row>
    <row r="27" customFormat="false" ht="15" hidden="false" customHeight="false" outlineLevel="0" collapsed="false">
      <c r="A27" s="22" t="s">
        <v>362</v>
      </c>
      <c r="B27" s="21" t="n">
        <v>15</v>
      </c>
      <c r="C27" s="23" t="n">
        <v>154.9</v>
      </c>
      <c r="D27" s="23" t="n">
        <v>10.33</v>
      </c>
      <c r="E27" s="44" t="n">
        <v>0</v>
      </c>
      <c r="F27" s="44" t="n">
        <v>0</v>
      </c>
    </row>
    <row r="28" customFormat="false" ht="15" hidden="false" customHeight="false" outlineLevel="0" collapsed="false">
      <c r="A28" s="22" t="s">
        <v>363</v>
      </c>
      <c r="B28" s="21" t="n">
        <v>10</v>
      </c>
      <c r="C28" s="23" t="n">
        <v>72.8</v>
      </c>
      <c r="D28" s="23" t="n">
        <v>7.28</v>
      </c>
      <c r="E28" s="44" t="n">
        <v>0</v>
      </c>
      <c r="F28" s="44" t="n">
        <v>0</v>
      </c>
    </row>
    <row r="29" customFormat="false" ht="15" hidden="false" customHeight="false" outlineLevel="0" collapsed="false">
      <c r="A29" s="22" t="s">
        <v>364</v>
      </c>
      <c r="B29" s="21" t="n">
        <v>1</v>
      </c>
      <c r="C29" s="23" t="n">
        <v>62.6</v>
      </c>
      <c r="D29" s="23" t="n">
        <v>62.6</v>
      </c>
      <c r="E29" s="44" t="n">
        <v>0</v>
      </c>
      <c r="F29" s="44" t="n">
        <v>0</v>
      </c>
    </row>
    <row r="30" customFormat="false" ht="15" hidden="false" customHeight="false" outlineLevel="0" collapsed="false">
      <c r="A30" s="22" t="s">
        <v>365</v>
      </c>
      <c r="B30" s="21" t="n">
        <v>1</v>
      </c>
      <c r="C30" s="23" t="n">
        <v>0</v>
      </c>
      <c r="D30" s="23" t="n">
        <v>0</v>
      </c>
      <c r="E30" s="44" t="n">
        <v>0</v>
      </c>
      <c r="F30" s="44" t="n">
        <v>0</v>
      </c>
    </row>
  </sheetData>
  <mergeCells count="1">
    <mergeCell ref="A1:F1"/>
  </mergeCells>
  <conditionalFormatting sqref="D4:D3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366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45752.2</v>
      </c>
    </row>
    <row r="4" customFormat="false" ht="15" hidden="false" customHeight="false" outlineLevel="0" collapsed="false">
      <c r="A4" s="39" t="s">
        <v>134</v>
      </c>
      <c r="B4" s="0" t="n">
        <v>142</v>
      </c>
    </row>
    <row r="5" customFormat="false" ht="15" hidden="false" customHeight="false" outlineLevel="0" collapsed="false">
      <c r="A5" s="39" t="s">
        <v>368</v>
      </c>
      <c r="B5" s="53" t="s">
        <v>369</v>
      </c>
    </row>
    <row r="6" customFormat="false" ht="15" hidden="false" customHeight="false" outlineLevel="0" collapsed="false">
      <c r="A6" s="39" t="s">
        <v>370</v>
      </c>
      <c r="B6" s="54" t="n">
        <v>24.9560129754421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0.499120259508843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373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374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375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376</v>
      </c>
      <c r="B14" s="58"/>
      <c r="C14" s="58"/>
      <c r="D14" s="58"/>
      <c r="E14" s="58"/>
      <c r="F14" s="58"/>
    </row>
    <row r="15" customFormat="false" ht="34.5" hidden="false" customHeight="true" outlineLevel="0" collapsed="false">
      <c r="A15" s="58" t="s">
        <v>377</v>
      </c>
      <c r="B15" s="58"/>
      <c r="C15" s="58"/>
      <c r="D15" s="58"/>
      <c r="E15" s="58"/>
      <c r="F15" s="58"/>
    </row>
    <row r="17" customFormat="false" ht="15" hidden="false" customHeight="false" outlineLevel="0" collapsed="false">
      <c r="A17" s="59" t="s">
        <v>378</v>
      </c>
    </row>
    <row r="18" customFormat="false" ht="26.85" hidden="false" customHeight="false" outlineLevel="0" collapsed="false">
      <c r="A18" s="6" t="s">
        <v>210</v>
      </c>
      <c r="B18" s="6" t="s">
        <v>134</v>
      </c>
      <c r="C18" s="6" t="s">
        <v>132</v>
      </c>
      <c r="D18" s="6" t="s">
        <v>379</v>
      </c>
      <c r="E18" s="6" t="s">
        <v>380</v>
      </c>
    </row>
    <row r="19" customFormat="false" ht="15" hidden="false" customHeight="false" outlineLevel="0" collapsed="false">
      <c r="A19" s="60" t="s">
        <v>220</v>
      </c>
      <c r="B19" s="60" t="n">
        <v>20</v>
      </c>
      <c r="C19" s="61" t="n">
        <v>9972.9</v>
      </c>
      <c r="D19" s="62" t="n">
        <v>498.6</v>
      </c>
      <c r="E19" s="62" t="n">
        <v>38.6</v>
      </c>
    </row>
    <row r="20" customFormat="false" ht="15" hidden="false" customHeight="false" outlineLevel="0" collapsed="false">
      <c r="A20" s="60" t="s">
        <v>221</v>
      </c>
      <c r="B20" s="60" t="n">
        <v>22</v>
      </c>
      <c r="C20" s="61" t="n">
        <v>9689.5</v>
      </c>
      <c r="D20" s="62" t="n">
        <v>440.4</v>
      </c>
      <c r="E20" s="62" t="n">
        <v>34.1</v>
      </c>
    </row>
    <row r="21" customFormat="false" ht="15" hidden="false" customHeight="false" outlineLevel="0" collapsed="false">
      <c r="A21" s="63" t="s">
        <v>222</v>
      </c>
      <c r="B21" s="63" t="n">
        <v>36</v>
      </c>
      <c r="C21" s="64" t="n">
        <v>9535.8</v>
      </c>
      <c r="D21" s="65" t="n">
        <v>264.9</v>
      </c>
      <c r="E21" s="65" t="n">
        <v>20.5</v>
      </c>
    </row>
    <row r="22" customFormat="false" ht="15" hidden="false" customHeight="false" outlineLevel="0" collapsed="false">
      <c r="A22" s="60" t="s">
        <v>223</v>
      </c>
      <c r="B22" s="60" t="n">
        <v>17</v>
      </c>
      <c r="C22" s="61" t="n">
        <v>8742.2</v>
      </c>
      <c r="D22" s="62" t="n">
        <v>514.2</v>
      </c>
      <c r="E22" s="62" t="n">
        <v>39.8</v>
      </c>
    </row>
    <row r="23" customFormat="false" ht="15" hidden="false" customHeight="false" outlineLevel="0" collapsed="false">
      <c r="A23" s="63" t="s">
        <v>224</v>
      </c>
      <c r="B23" s="63" t="n">
        <v>27</v>
      </c>
      <c r="C23" s="64" t="n">
        <v>5316.4</v>
      </c>
      <c r="D23" s="65" t="n">
        <v>196.9</v>
      </c>
      <c r="E23" s="65" t="n">
        <v>15.3</v>
      </c>
    </row>
    <row r="24" customFormat="false" ht="15" hidden="false" customHeight="false" outlineLevel="0" collapsed="false">
      <c r="A24" s="63" t="s">
        <v>225</v>
      </c>
      <c r="B24" s="63" t="n">
        <v>21</v>
      </c>
      <c r="C24" s="64" t="n">
        <v>2495.4</v>
      </c>
      <c r="D24" s="65" t="n">
        <v>118.8</v>
      </c>
      <c r="E24" s="65" t="n">
        <v>9.2</v>
      </c>
    </row>
    <row r="26" customFormat="false" ht="15" hidden="false" customHeight="false" outlineLevel="0" collapsed="false">
      <c r="A26" s="59" t="s">
        <v>381</v>
      </c>
    </row>
    <row r="27" customFormat="false" ht="26.85" hidden="false" customHeight="false" outlineLevel="0" collapsed="false">
      <c r="A27" s="6" t="s">
        <v>161</v>
      </c>
      <c r="B27" s="6" t="s">
        <v>162</v>
      </c>
      <c r="C27" s="6" t="s">
        <v>163</v>
      </c>
      <c r="D27" s="6" t="s">
        <v>382</v>
      </c>
      <c r="E27" s="6" t="s">
        <v>383</v>
      </c>
      <c r="F27" s="6" t="s">
        <v>384</v>
      </c>
    </row>
    <row r="28" customFormat="false" ht="15" hidden="false" customHeight="false" outlineLevel="0" collapsed="false">
      <c r="A28" s="66" t="s">
        <v>174</v>
      </c>
      <c r="B28" s="67" t="n">
        <v>182425</v>
      </c>
      <c r="C28" s="67" t="n">
        <v>7834</v>
      </c>
      <c r="D28" s="68" t="n">
        <v>0</v>
      </c>
      <c r="E28" s="68" t="n">
        <v>0.959</v>
      </c>
      <c r="F28" s="69" t="n">
        <v>0.3</v>
      </c>
    </row>
    <row r="29" customFormat="false" ht="15" hidden="false" customHeight="false" outlineLevel="0" collapsed="false">
      <c r="A29" s="66" t="s">
        <v>43</v>
      </c>
      <c r="B29" s="67" t="n">
        <v>99297</v>
      </c>
      <c r="C29" s="67" t="n">
        <v>18976</v>
      </c>
      <c r="D29" s="68" t="n">
        <v>0</v>
      </c>
      <c r="E29" s="68" t="n">
        <v>0</v>
      </c>
      <c r="F29" s="69" t="n">
        <v>0</v>
      </c>
    </row>
    <row r="30" customFormat="false" ht="15" hidden="false" customHeight="false" outlineLevel="0" collapsed="false">
      <c r="A30" s="66" t="s">
        <v>175</v>
      </c>
      <c r="B30" s="67" t="n">
        <v>61476</v>
      </c>
      <c r="C30" s="67" t="n">
        <v>0</v>
      </c>
      <c r="D30" s="68" t="n">
        <v>0.426</v>
      </c>
      <c r="E30" s="68" t="n">
        <v>0.918</v>
      </c>
      <c r="F30" s="69" t="n">
        <v>1.4</v>
      </c>
    </row>
    <row r="31" customFormat="false" ht="15" hidden="false" customHeight="false" outlineLevel="0" collapsed="false">
      <c r="A31" s="66" t="s">
        <v>49</v>
      </c>
      <c r="B31" s="67" t="n">
        <v>40418</v>
      </c>
      <c r="C31" s="67" t="n">
        <v>0</v>
      </c>
      <c r="D31" s="68" t="n">
        <v>0</v>
      </c>
      <c r="E31" s="68" t="n">
        <v>0</v>
      </c>
      <c r="F31" s="69" t="n">
        <v>0</v>
      </c>
    </row>
    <row r="32" customFormat="false" ht="15" hidden="false" customHeight="false" outlineLevel="0" collapsed="false">
      <c r="A32" s="66" t="s">
        <v>45</v>
      </c>
      <c r="B32" s="67" t="n">
        <v>10194</v>
      </c>
      <c r="C32" s="67" t="n">
        <v>3515</v>
      </c>
      <c r="D32" s="68" t="n">
        <v>0</v>
      </c>
      <c r="E32" s="68" t="n">
        <v>0</v>
      </c>
      <c r="F32" s="69" t="n">
        <v>0</v>
      </c>
    </row>
    <row r="33" customFormat="false" ht="15" hidden="false" customHeight="false" outlineLevel="0" collapsed="false">
      <c r="A33" s="66" t="s">
        <v>178</v>
      </c>
      <c r="B33" s="67" t="n">
        <v>3202</v>
      </c>
      <c r="C33" s="67" t="n">
        <v>0</v>
      </c>
      <c r="D33" s="68" t="n">
        <v>0</v>
      </c>
      <c r="E33" s="68" t="n">
        <v>0.38</v>
      </c>
      <c r="F33" s="69" t="n">
        <v>0.8</v>
      </c>
    </row>
    <row r="34" customFormat="false" ht="15" hidden="false" customHeight="false" outlineLevel="0" collapsed="false">
      <c r="A34" s="66" t="s">
        <v>47</v>
      </c>
      <c r="B34" s="67" t="n">
        <v>474</v>
      </c>
      <c r="C34" s="67" t="n">
        <v>3</v>
      </c>
      <c r="D34" s="68" t="n">
        <v>0</v>
      </c>
      <c r="E34" s="68" t="n">
        <v>0</v>
      </c>
      <c r="F34" s="69" t="n">
        <v>0</v>
      </c>
    </row>
    <row r="36" customFormat="false" ht="15" hidden="false" customHeight="false" outlineLevel="0" collapsed="false">
      <c r="A36" s="70" t="s">
        <v>385</v>
      </c>
      <c r="B36" s="70"/>
      <c r="C36" s="70"/>
      <c r="D36" s="70"/>
      <c r="E36" s="70"/>
      <c r="F36" s="70"/>
    </row>
    <row r="37" customFormat="false" ht="15" hidden="false" customHeight="false" outlineLevel="0" collapsed="false">
      <c r="A37" s="6" t="s">
        <v>275</v>
      </c>
      <c r="B37" s="6" t="s">
        <v>386</v>
      </c>
      <c r="C37" s="6" t="s">
        <v>276</v>
      </c>
      <c r="D37" s="6" t="s">
        <v>132</v>
      </c>
      <c r="E37" s="6" t="s">
        <v>387</v>
      </c>
      <c r="F37" s="6" t="s">
        <v>75</v>
      </c>
    </row>
    <row r="38" customFormat="false" ht="15" hidden="false" customHeight="false" outlineLevel="0" collapsed="false">
      <c r="A38" s="63" t="s">
        <v>388</v>
      </c>
      <c r="B38" s="63" t="s">
        <v>222</v>
      </c>
      <c r="C38" s="63" t="s">
        <v>349</v>
      </c>
      <c r="D38" s="64" t="n">
        <v>0</v>
      </c>
      <c r="E38" s="65" t="n">
        <v>0</v>
      </c>
      <c r="F38" s="63" t="s">
        <v>389</v>
      </c>
    </row>
    <row r="39" customFormat="false" ht="15" hidden="false" customHeight="false" outlineLevel="0" collapsed="false">
      <c r="A39" s="60" t="s">
        <v>390</v>
      </c>
      <c r="B39" s="60" t="s">
        <v>221</v>
      </c>
      <c r="C39" s="60" t="s">
        <v>341</v>
      </c>
      <c r="D39" s="61" t="n">
        <v>0.3</v>
      </c>
      <c r="E39" s="62" t="n">
        <v>0</v>
      </c>
      <c r="F39" s="60" t="s">
        <v>391</v>
      </c>
    </row>
    <row r="40" customFormat="false" ht="15" hidden="false" customHeight="false" outlineLevel="0" collapsed="false">
      <c r="A40" s="60" t="s">
        <v>392</v>
      </c>
      <c r="B40" s="60" t="s">
        <v>224</v>
      </c>
      <c r="C40" s="60" t="s">
        <v>344</v>
      </c>
      <c r="D40" s="61" t="n">
        <v>22</v>
      </c>
      <c r="E40" s="62" t="n">
        <v>1.7</v>
      </c>
      <c r="F40" s="60" t="s">
        <v>391</v>
      </c>
    </row>
    <row r="41" customFormat="false" ht="15" hidden="false" customHeight="false" outlineLevel="0" collapsed="false">
      <c r="A41" s="60" t="s">
        <v>393</v>
      </c>
      <c r="B41" s="60" t="s">
        <v>223</v>
      </c>
      <c r="C41" s="60" t="s">
        <v>344</v>
      </c>
      <c r="D41" s="61" t="n">
        <v>29.6</v>
      </c>
      <c r="E41" s="62" t="n">
        <v>2.3</v>
      </c>
      <c r="F41" s="60" t="s">
        <v>391</v>
      </c>
    </row>
    <row r="42" customFormat="false" ht="15" hidden="false" customHeight="false" outlineLevel="0" collapsed="false">
      <c r="A42" s="60" t="s">
        <v>394</v>
      </c>
      <c r="B42" s="60" t="s">
        <v>222</v>
      </c>
      <c r="C42" s="60" t="s">
        <v>349</v>
      </c>
      <c r="D42" s="61" t="n">
        <v>31.9</v>
      </c>
      <c r="E42" s="62" t="n">
        <v>2.5</v>
      </c>
      <c r="F42" s="60" t="s">
        <v>391</v>
      </c>
    </row>
    <row r="43" customFormat="false" ht="15" hidden="false" customHeight="false" outlineLevel="0" collapsed="false">
      <c r="A43" s="60" t="s">
        <v>395</v>
      </c>
      <c r="B43" s="60" t="s">
        <v>225</v>
      </c>
      <c r="C43" s="60" t="s">
        <v>339</v>
      </c>
      <c r="D43" s="61" t="n">
        <v>41.1</v>
      </c>
      <c r="E43" s="62" t="n">
        <v>3.2</v>
      </c>
      <c r="F43" s="60" t="s">
        <v>391</v>
      </c>
    </row>
    <row r="44" customFormat="false" ht="15" hidden="false" customHeight="false" outlineLevel="0" collapsed="false">
      <c r="A44" s="60" t="s">
        <v>396</v>
      </c>
      <c r="B44" s="60" t="s">
        <v>225</v>
      </c>
      <c r="C44" s="60" t="s">
        <v>339</v>
      </c>
      <c r="D44" s="61" t="n">
        <v>68.2</v>
      </c>
      <c r="E44" s="62" t="n">
        <v>5.3</v>
      </c>
      <c r="F44" s="60" t="s">
        <v>391</v>
      </c>
    </row>
    <row r="45" customFormat="false" ht="15" hidden="false" customHeight="false" outlineLevel="0" collapsed="false">
      <c r="A45" s="60" t="s">
        <v>397</v>
      </c>
      <c r="B45" s="60" t="s">
        <v>222</v>
      </c>
      <c r="C45" s="60" t="s">
        <v>349</v>
      </c>
      <c r="D45" s="61" t="n">
        <v>70.4</v>
      </c>
      <c r="E45" s="62" t="n">
        <v>5.5</v>
      </c>
      <c r="F45" s="60" t="s">
        <v>391</v>
      </c>
    </row>
    <row r="46" customFormat="false" ht="15" hidden="false" customHeight="false" outlineLevel="0" collapsed="false">
      <c r="A46" s="60" t="s">
        <v>398</v>
      </c>
      <c r="B46" s="60" t="s">
        <v>225</v>
      </c>
      <c r="C46" s="60" t="s">
        <v>339</v>
      </c>
      <c r="D46" s="61" t="n">
        <v>82.9</v>
      </c>
      <c r="E46" s="62" t="n">
        <v>6.4</v>
      </c>
      <c r="F46" s="60" t="s">
        <v>391</v>
      </c>
    </row>
    <row r="47" customFormat="false" ht="15" hidden="false" customHeight="false" outlineLevel="0" collapsed="false">
      <c r="A47" s="60" t="s">
        <v>399</v>
      </c>
      <c r="B47" s="60" t="s">
        <v>225</v>
      </c>
      <c r="C47" s="60" t="s">
        <v>339</v>
      </c>
      <c r="D47" s="61" t="n">
        <v>84.6</v>
      </c>
      <c r="E47" s="62" t="n">
        <v>6.6</v>
      </c>
      <c r="F47" s="60" t="s">
        <v>391</v>
      </c>
    </row>
    <row r="48" customFormat="false" ht="15" hidden="false" customHeight="false" outlineLevel="0" collapsed="false">
      <c r="A48" s="60" t="s">
        <v>400</v>
      </c>
      <c r="B48" s="60" t="s">
        <v>225</v>
      </c>
      <c r="C48" s="60" t="s">
        <v>339</v>
      </c>
      <c r="D48" s="61" t="n">
        <v>87.2</v>
      </c>
      <c r="E48" s="62" t="n">
        <v>6.8</v>
      </c>
      <c r="F48" s="60" t="s">
        <v>391</v>
      </c>
    </row>
    <row r="49" customFormat="false" ht="15" hidden="false" customHeight="false" outlineLevel="0" collapsed="false">
      <c r="A49" s="60" t="s">
        <v>401</v>
      </c>
      <c r="B49" s="60" t="s">
        <v>224</v>
      </c>
      <c r="C49" s="60" t="s">
        <v>339</v>
      </c>
      <c r="D49" s="61" t="n">
        <v>90.8</v>
      </c>
      <c r="E49" s="62" t="n">
        <v>7</v>
      </c>
      <c r="F49" s="60" t="s">
        <v>391</v>
      </c>
    </row>
    <row r="50" customFormat="false" ht="15" hidden="false" customHeight="false" outlineLevel="0" collapsed="false">
      <c r="A50" s="60" t="s">
        <v>402</v>
      </c>
      <c r="B50" s="60" t="s">
        <v>225</v>
      </c>
      <c r="C50" s="60" t="s">
        <v>339</v>
      </c>
      <c r="D50" s="61" t="n">
        <v>94.2</v>
      </c>
      <c r="E50" s="62" t="n">
        <v>7.3</v>
      </c>
      <c r="F50" s="60" t="s">
        <v>391</v>
      </c>
    </row>
    <row r="51" customFormat="false" ht="15" hidden="false" customHeight="false" outlineLevel="0" collapsed="false">
      <c r="A51" s="60" t="s">
        <v>403</v>
      </c>
      <c r="B51" s="60" t="s">
        <v>220</v>
      </c>
      <c r="C51" s="60" t="s">
        <v>339</v>
      </c>
      <c r="D51" s="61" t="n">
        <v>99.6</v>
      </c>
      <c r="E51" s="62" t="n">
        <v>7.7</v>
      </c>
      <c r="F51" s="60" t="s">
        <v>391</v>
      </c>
    </row>
    <row r="52" customFormat="false" ht="15" hidden="false" customHeight="false" outlineLevel="0" collapsed="false">
      <c r="A52" s="60" t="s">
        <v>404</v>
      </c>
      <c r="B52" s="60" t="s">
        <v>224</v>
      </c>
      <c r="C52" s="60" t="s">
        <v>341</v>
      </c>
      <c r="D52" s="61" t="n">
        <v>104.3</v>
      </c>
      <c r="E52" s="62" t="n">
        <v>8.1</v>
      </c>
      <c r="F52" s="60" t="s">
        <v>391</v>
      </c>
    </row>
    <row r="53" customFormat="false" ht="15" hidden="false" customHeight="false" outlineLevel="0" collapsed="false">
      <c r="A53" s="60" t="s">
        <v>405</v>
      </c>
      <c r="B53" s="60" t="s">
        <v>225</v>
      </c>
      <c r="C53" s="60" t="s">
        <v>339</v>
      </c>
      <c r="D53" s="61" t="n">
        <v>104.4</v>
      </c>
      <c r="E53" s="62" t="n">
        <v>8.1</v>
      </c>
      <c r="F53" s="60" t="s">
        <v>391</v>
      </c>
    </row>
    <row r="54" customFormat="false" ht="15" hidden="false" customHeight="false" outlineLevel="0" collapsed="false">
      <c r="A54" s="60" t="s">
        <v>406</v>
      </c>
      <c r="B54" s="60" t="s">
        <v>225</v>
      </c>
      <c r="C54" s="60" t="s">
        <v>339</v>
      </c>
      <c r="D54" s="61" t="n">
        <v>106</v>
      </c>
      <c r="E54" s="62" t="n">
        <v>8.2</v>
      </c>
      <c r="F54" s="60" t="s">
        <v>391</v>
      </c>
    </row>
    <row r="55" customFormat="false" ht="15" hidden="false" customHeight="false" outlineLevel="0" collapsed="false">
      <c r="A55" s="60" t="s">
        <v>407</v>
      </c>
      <c r="B55" s="60" t="s">
        <v>225</v>
      </c>
      <c r="C55" s="60" t="s">
        <v>339</v>
      </c>
      <c r="D55" s="61" t="n">
        <v>109.7</v>
      </c>
      <c r="E55" s="62" t="n">
        <v>8.5</v>
      </c>
      <c r="F55" s="60" t="s">
        <v>391</v>
      </c>
    </row>
    <row r="56" customFormat="false" ht="15" hidden="false" customHeight="false" outlineLevel="0" collapsed="false">
      <c r="A56" s="60" t="s">
        <v>408</v>
      </c>
      <c r="B56" s="60" t="s">
        <v>225</v>
      </c>
      <c r="C56" s="60" t="s">
        <v>339</v>
      </c>
      <c r="D56" s="61" t="n">
        <v>111.1</v>
      </c>
      <c r="E56" s="62" t="n">
        <v>8.6</v>
      </c>
      <c r="F56" s="60" t="s">
        <v>391</v>
      </c>
    </row>
    <row r="57" customFormat="false" ht="15" hidden="false" customHeight="false" outlineLevel="0" collapsed="false">
      <c r="A57" s="60" t="s">
        <v>409</v>
      </c>
      <c r="B57" s="60" t="s">
        <v>225</v>
      </c>
      <c r="C57" s="60" t="s">
        <v>339</v>
      </c>
      <c r="D57" s="61" t="n">
        <v>117.7</v>
      </c>
      <c r="E57" s="62" t="n">
        <v>9.1</v>
      </c>
      <c r="F57" s="60" t="s">
        <v>391</v>
      </c>
    </row>
    <row r="58" customFormat="false" ht="15" hidden="false" customHeight="false" outlineLevel="0" collapsed="false">
      <c r="A58" s="60" t="s">
        <v>410</v>
      </c>
      <c r="B58" s="60" t="s">
        <v>222</v>
      </c>
      <c r="C58" s="60" t="s">
        <v>347</v>
      </c>
      <c r="D58" s="61" t="n">
        <v>125.3</v>
      </c>
      <c r="E58" s="62" t="n">
        <v>9.7</v>
      </c>
      <c r="F58" s="60" t="s">
        <v>391</v>
      </c>
    </row>
    <row r="59" customFormat="false" ht="15" hidden="false" customHeight="false" outlineLevel="0" collapsed="false">
      <c r="A59" s="60" t="s">
        <v>411</v>
      </c>
      <c r="B59" s="60" t="s">
        <v>225</v>
      </c>
      <c r="C59" s="60" t="s">
        <v>339</v>
      </c>
      <c r="D59" s="61" t="n">
        <v>132.4</v>
      </c>
      <c r="E59" s="62" t="n">
        <v>10.3</v>
      </c>
      <c r="F59" s="60" t="s">
        <v>391</v>
      </c>
    </row>
    <row r="60" customFormat="false" ht="15" hidden="false" customHeight="false" outlineLevel="0" collapsed="false">
      <c r="A60" s="60" t="s">
        <v>412</v>
      </c>
      <c r="B60" s="60" t="s">
        <v>225</v>
      </c>
      <c r="C60" s="60" t="s">
        <v>339</v>
      </c>
      <c r="D60" s="61" t="n">
        <v>135.1</v>
      </c>
      <c r="E60" s="62" t="n">
        <v>10.5</v>
      </c>
      <c r="F60" s="60" t="s">
        <v>391</v>
      </c>
    </row>
    <row r="61" customFormat="false" ht="15" hidden="false" customHeight="false" outlineLevel="0" collapsed="false">
      <c r="A61" s="60" t="s">
        <v>413</v>
      </c>
      <c r="B61" s="60" t="s">
        <v>221</v>
      </c>
      <c r="C61" s="60" t="s">
        <v>341</v>
      </c>
      <c r="D61" s="61" t="n">
        <v>138.5</v>
      </c>
      <c r="E61" s="62" t="n">
        <v>10.7</v>
      </c>
      <c r="F61" s="60" t="s">
        <v>391</v>
      </c>
    </row>
    <row r="62" customFormat="false" ht="15" hidden="false" customHeight="false" outlineLevel="0" collapsed="false">
      <c r="A62" s="60" t="s">
        <v>414</v>
      </c>
      <c r="B62" s="60" t="s">
        <v>224</v>
      </c>
      <c r="C62" s="60" t="s">
        <v>339</v>
      </c>
      <c r="D62" s="61" t="n">
        <v>140</v>
      </c>
      <c r="E62" s="62" t="n">
        <v>10.8</v>
      </c>
      <c r="F62" s="60" t="s">
        <v>391</v>
      </c>
    </row>
    <row r="63" customFormat="false" ht="15" hidden="false" customHeight="false" outlineLevel="0" collapsed="false">
      <c r="A63" s="60" t="s">
        <v>415</v>
      </c>
      <c r="B63" s="60" t="s">
        <v>225</v>
      </c>
      <c r="C63" s="60" t="s">
        <v>339</v>
      </c>
      <c r="D63" s="61" t="n">
        <v>147.3</v>
      </c>
      <c r="E63" s="62" t="n">
        <v>11.4</v>
      </c>
      <c r="F63" s="60" t="s">
        <v>391</v>
      </c>
    </row>
    <row r="64" customFormat="false" ht="15" hidden="false" customHeight="false" outlineLevel="0" collapsed="false">
      <c r="A64" s="60" t="s">
        <v>416</v>
      </c>
      <c r="B64" s="60" t="s">
        <v>224</v>
      </c>
      <c r="C64" s="60" t="s">
        <v>339</v>
      </c>
      <c r="D64" s="61" t="n">
        <v>148.4</v>
      </c>
      <c r="E64" s="62" t="n">
        <v>11.5</v>
      </c>
      <c r="F64" s="60" t="s">
        <v>391</v>
      </c>
    </row>
    <row r="65" customFormat="false" ht="15" hidden="false" customHeight="false" outlineLevel="0" collapsed="false">
      <c r="A65" s="60" t="s">
        <v>417</v>
      </c>
      <c r="B65" s="60" t="s">
        <v>225</v>
      </c>
      <c r="C65" s="60" t="s">
        <v>339</v>
      </c>
      <c r="D65" s="61" t="n">
        <v>156.2</v>
      </c>
      <c r="E65" s="62" t="n">
        <v>12.1</v>
      </c>
      <c r="F65" s="60" t="s">
        <v>391</v>
      </c>
    </row>
    <row r="66" customFormat="false" ht="15" hidden="false" customHeight="false" outlineLevel="0" collapsed="false">
      <c r="A66" s="60" t="s">
        <v>418</v>
      </c>
      <c r="B66" s="60" t="s">
        <v>223</v>
      </c>
      <c r="C66" s="60" t="s">
        <v>355</v>
      </c>
      <c r="D66" s="61" t="n">
        <v>162.6</v>
      </c>
      <c r="E66" s="62" t="n">
        <v>12.6</v>
      </c>
      <c r="F66" s="60" t="s">
        <v>391</v>
      </c>
    </row>
    <row r="67" customFormat="false" ht="15" hidden="false" customHeight="false" outlineLevel="0" collapsed="false">
      <c r="A67" s="60" t="s">
        <v>419</v>
      </c>
      <c r="B67" s="60" t="s">
        <v>225</v>
      </c>
      <c r="C67" s="60" t="s">
        <v>339</v>
      </c>
      <c r="D67" s="61" t="n">
        <v>163.7</v>
      </c>
      <c r="E67" s="62" t="n">
        <v>12.7</v>
      </c>
      <c r="F67" s="60" t="s">
        <v>391</v>
      </c>
    </row>
    <row r="68" customFormat="false" ht="15" hidden="false" customHeight="false" outlineLevel="0" collapsed="false">
      <c r="A68" s="60" t="s">
        <v>420</v>
      </c>
      <c r="B68" s="60" t="s">
        <v>225</v>
      </c>
      <c r="C68" s="60" t="s">
        <v>339</v>
      </c>
      <c r="D68" s="61" t="n">
        <v>171.6</v>
      </c>
      <c r="E68" s="62" t="n">
        <v>13.3</v>
      </c>
      <c r="F68" s="60" t="s">
        <v>391</v>
      </c>
    </row>
    <row r="69" customFormat="false" ht="15" hidden="false" customHeight="false" outlineLevel="0" collapsed="false">
      <c r="A69" s="60" t="s">
        <v>421</v>
      </c>
      <c r="B69" s="60" t="s">
        <v>222</v>
      </c>
      <c r="C69" s="60" t="s">
        <v>349</v>
      </c>
      <c r="D69" s="61" t="n">
        <v>172.4</v>
      </c>
      <c r="E69" s="62" t="n">
        <v>13.4</v>
      </c>
      <c r="F69" s="60" t="s">
        <v>391</v>
      </c>
    </row>
    <row r="70" customFormat="false" ht="15" hidden="false" customHeight="false" outlineLevel="0" collapsed="false">
      <c r="A70" s="60" t="s">
        <v>422</v>
      </c>
      <c r="B70" s="60" t="s">
        <v>224</v>
      </c>
      <c r="C70" s="60" t="s">
        <v>339</v>
      </c>
      <c r="D70" s="61" t="n">
        <v>173.3</v>
      </c>
      <c r="E70" s="62" t="n">
        <v>13.4</v>
      </c>
      <c r="F70" s="60" t="s">
        <v>391</v>
      </c>
    </row>
    <row r="71" customFormat="false" ht="15" hidden="false" customHeight="false" outlineLevel="0" collapsed="false">
      <c r="A71" s="60" t="s">
        <v>423</v>
      </c>
      <c r="B71" s="60" t="s">
        <v>224</v>
      </c>
      <c r="C71" s="60" t="s">
        <v>339</v>
      </c>
      <c r="D71" s="61" t="n">
        <v>176.4</v>
      </c>
      <c r="E71" s="62" t="n">
        <v>13.7</v>
      </c>
      <c r="F71" s="60" t="s">
        <v>391</v>
      </c>
    </row>
    <row r="72" customFormat="false" ht="15" hidden="false" customHeight="false" outlineLevel="0" collapsed="false">
      <c r="A72" s="60" t="s">
        <v>424</v>
      </c>
      <c r="B72" s="60" t="s">
        <v>222</v>
      </c>
      <c r="C72" s="60" t="s">
        <v>347</v>
      </c>
      <c r="D72" s="61" t="n">
        <v>183.4</v>
      </c>
      <c r="E72" s="62" t="n">
        <v>14.2</v>
      </c>
      <c r="F72" s="60" t="s">
        <v>391</v>
      </c>
    </row>
    <row r="73" customFormat="false" ht="15" hidden="false" customHeight="false" outlineLevel="0" collapsed="false">
      <c r="A73" s="60" t="s">
        <v>425</v>
      </c>
      <c r="B73" s="60" t="s">
        <v>222</v>
      </c>
      <c r="C73" s="60" t="s">
        <v>349</v>
      </c>
      <c r="D73" s="61" t="n">
        <v>187</v>
      </c>
      <c r="E73" s="62" t="n">
        <v>14.5</v>
      </c>
      <c r="F73" s="60" t="s">
        <v>391</v>
      </c>
    </row>
    <row r="74" customFormat="false" ht="15" hidden="false" customHeight="false" outlineLevel="0" collapsed="false">
      <c r="A74" s="60" t="s">
        <v>426</v>
      </c>
      <c r="B74" s="60" t="s">
        <v>224</v>
      </c>
      <c r="C74" s="60" t="s">
        <v>339</v>
      </c>
      <c r="D74" s="61" t="n">
        <v>188.4</v>
      </c>
      <c r="E74" s="62" t="n">
        <v>14.6</v>
      </c>
      <c r="F74" s="60" t="s">
        <v>391</v>
      </c>
    </row>
    <row r="75" customFormat="false" ht="15" hidden="false" customHeight="false" outlineLevel="0" collapsed="false">
      <c r="A75" s="60" t="s">
        <v>427</v>
      </c>
      <c r="B75" s="60" t="s">
        <v>222</v>
      </c>
      <c r="C75" s="60" t="s">
        <v>347</v>
      </c>
      <c r="D75" s="61" t="n">
        <v>189.4</v>
      </c>
      <c r="E75" s="62" t="n">
        <v>14.7</v>
      </c>
      <c r="F75" s="60" t="s">
        <v>391</v>
      </c>
    </row>
    <row r="76" customFormat="false" ht="15" hidden="false" customHeight="false" outlineLevel="0" collapsed="false">
      <c r="A76" s="60" t="s">
        <v>428</v>
      </c>
      <c r="B76" s="60" t="s">
        <v>222</v>
      </c>
      <c r="C76" s="60" t="s">
        <v>349</v>
      </c>
      <c r="D76" s="61" t="n">
        <v>189.8</v>
      </c>
      <c r="E76" s="62" t="n">
        <v>14.7</v>
      </c>
      <c r="F76" s="60" t="s">
        <v>391</v>
      </c>
    </row>
    <row r="77" customFormat="false" ht="15" hidden="false" customHeight="false" outlineLevel="0" collapsed="false">
      <c r="A77" s="60" t="s">
        <v>429</v>
      </c>
      <c r="B77" s="60" t="s">
        <v>225</v>
      </c>
      <c r="C77" s="60" t="s">
        <v>339</v>
      </c>
      <c r="D77" s="61" t="n">
        <v>190.4</v>
      </c>
      <c r="E77" s="62" t="n">
        <v>14.7</v>
      </c>
      <c r="F77" s="60" t="s">
        <v>391</v>
      </c>
    </row>
    <row r="78" customFormat="false" ht="15" hidden="false" customHeight="false" outlineLevel="0" collapsed="false">
      <c r="A78" s="60" t="s">
        <v>430</v>
      </c>
      <c r="B78" s="60" t="s">
        <v>225</v>
      </c>
      <c r="C78" s="60" t="s">
        <v>339</v>
      </c>
      <c r="D78" s="61" t="n">
        <v>192.4</v>
      </c>
      <c r="E78" s="62" t="n">
        <v>14.9</v>
      </c>
      <c r="F78" s="60" t="s">
        <v>391</v>
      </c>
    </row>
    <row r="79" customFormat="false" ht="15" hidden="false" customHeight="false" outlineLevel="0" collapsed="false">
      <c r="A79" s="60" t="s">
        <v>431</v>
      </c>
      <c r="B79" s="60" t="s">
        <v>222</v>
      </c>
      <c r="C79" s="60" t="s">
        <v>349</v>
      </c>
      <c r="D79" s="61" t="n">
        <v>193.9</v>
      </c>
      <c r="E79" s="62" t="n">
        <v>15</v>
      </c>
      <c r="F79" s="60" t="s">
        <v>391</v>
      </c>
    </row>
    <row r="80" customFormat="false" ht="15" hidden="false" customHeight="false" outlineLevel="0" collapsed="false">
      <c r="A80" s="60" t="s">
        <v>432</v>
      </c>
      <c r="B80" s="60" t="s">
        <v>224</v>
      </c>
      <c r="C80" s="60" t="s">
        <v>339</v>
      </c>
      <c r="D80" s="61" t="n">
        <v>195.7</v>
      </c>
      <c r="E80" s="62" t="n">
        <v>15.2</v>
      </c>
      <c r="F80" s="60" t="s">
        <v>391</v>
      </c>
    </row>
    <row r="81" customFormat="false" ht="15" hidden="false" customHeight="false" outlineLevel="0" collapsed="false">
      <c r="A81" s="60" t="s">
        <v>433</v>
      </c>
      <c r="B81" s="60" t="s">
        <v>224</v>
      </c>
      <c r="C81" s="60" t="s">
        <v>339</v>
      </c>
      <c r="D81" s="61" t="n">
        <v>195.9</v>
      </c>
      <c r="E81" s="62" t="n">
        <v>15.2</v>
      </c>
      <c r="F81" s="60" t="s">
        <v>391</v>
      </c>
    </row>
    <row r="82" customFormat="false" ht="15" hidden="false" customHeight="false" outlineLevel="0" collapsed="false">
      <c r="A82" s="60" t="s">
        <v>434</v>
      </c>
      <c r="B82" s="60" t="s">
        <v>222</v>
      </c>
      <c r="C82" s="60" t="s">
        <v>347</v>
      </c>
      <c r="D82" s="61" t="n">
        <v>196.7</v>
      </c>
      <c r="E82" s="62" t="n">
        <v>15.2</v>
      </c>
      <c r="F82" s="60" t="s">
        <v>391</v>
      </c>
    </row>
    <row r="83" customFormat="false" ht="15" hidden="false" customHeight="false" outlineLevel="0" collapsed="false">
      <c r="A83" s="60" t="s">
        <v>435</v>
      </c>
      <c r="B83" s="60" t="s">
        <v>225</v>
      </c>
      <c r="C83" s="60" t="s">
        <v>339</v>
      </c>
      <c r="D83" s="61" t="n">
        <v>199.2</v>
      </c>
      <c r="E83" s="62" t="n">
        <v>15.4</v>
      </c>
      <c r="F83" s="60" t="s">
        <v>391</v>
      </c>
    </row>
    <row r="84" customFormat="false" ht="15" hidden="false" customHeight="false" outlineLevel="0" collapsed="false">
      <c r="A84" s="60" t="s">
        <v>436</v>
      </c>
      <c r="B84" s="60" t="s">
        <v>224</v>
      </c>
      <c r="C84" s="60" t="s">
        <v>339</v>
      </c>
      <c r="D84" s="61" t="n">
        <v>199.9</v>
      </c>
      <c r="E84" s="62" t="n">
        <v>15.5</v>
      </c>
      <c r="F84" s="60" t="s">
        <v>391</v>
      </c>
    </row>
    <row r="85" customFormat="false" ht="15" hidden="false" customHeight="false" outlineLevel="0" collapsed="false">
      <c r="A85" s="60" t="s">
        <v>437</v>
      </c>
      <c r="B85" s="60" t="s">
        <v>222</v>
      </c>
      <c r="C85" s="60" t="s">
        <v>349</v>
      </c>
      <c r="D85" s="61" t="n">
        <v>202.4</v>
      </c>
      <c r="E85" s="62" t="n">
        <v>15.7</v>
      </c>
      <c r="F85" s="60" t="s">
        <v>391</v>
      </c>
    </row>
    <row r="86" customFormat="false" ht="15" hidden="false" customHeight="false" outlineLevel="0" collapsed="false">
      <c r="A86" s="60" t="s">
        <v>438</v>
      </c>
      <c r="B86" s="60" t="s">
        <v>222</v>
      </c>
      <c r="C86" s="60" t="s">
        <v>349</v>
      </c>
      <c r="D86" s="61" t="n">
        <v>204.1</v>
      </c>
      <c r="E86" s="62" t="n">
        <v>15.8</v>
      </c>
      <c r="F86" s="60" t="s">
        <v>391</v>
      </c>
    </row>
    <row r="87" customFormat="false" ht="15" hidden="false" customHeight="false" outlineLevel="0" collapsed="false">
      <c r="A87" s="60" t="s">
        <v>439</v>
      </c>
      <c r="B87" s="60" t="s">
        <v>224</v>
      </c>
      <c r="C87" s="60" t="s">
        <v>339</v>
      </c>
      <c r="D87" s="61" t="n">
        <v>207.1</v>
      </c>
      <c r="E87" s="62" t="n">
        <v>16</v>
      </c>
      <c r="F87" s="60" t="s">
        <v>391</v>
      </c>
    </row>
    <row r="88" customFormat="false" ht="15" hidden="false" customHeight="false" outlineLevel="0" collapsed="false">
      <c r="A88" s="60" t="s">
        <v>440</v>
      </c>
      <c r="B88" s="60" t="s">
        <v>222</v>
      </c>
      <c r="C88" s="60" t="s">
        <v>349</v>
      </c>
      <c r="D88" s="61" t="n">
        <v>208.4</v>
      </c>
      <c r="E88" s="62" t="n">
        <v>16.1</v>
      </c>
      <c r="F88" s="60" t="s">
        <v>391</v>
      </c>
    </row>
    <row r="89" customFormat="false" ht="15" hidden="false" customHeight="false" outlineLevel="0" collapsed="false">
      <c r="A89" s="60" t="s">
        <v>441</v>
      </c>
      <c r="B89" s="60" t="s">
        <v>224</v>
      </c>
      <c r="C89" s="60" t="s">
        <v>339</v>
      </c>
      <c r="D89" s="61" t="n">
        <v>208.7</v>
      </c>
      <c r="E89" s="62" t="n">
        <v>16.2</v>
      </c>
      <c r="F89" s="60" t="s">
        <v>391</v>
      </c>
    </row>
    <row r="90" customFormat="false" ht="15" hidden="false" customHeight="false" outlineLevel="0" collapsed="false">
      <c r="A90" s="60" t="s">
        <v>442</v>
      </c>
      <c r="B90" s="60" t="s">
        <v>222</v>
      </c>
      <c r="C90" s="60" t="s">
        <v>347</v>
      </c>
      <c r="D90" s="61" t="n">
        <v>209.3</v>
      </c>
      <c r="E90" s="62" t="n">
        <v>16.2</v>
      </c>
      <c r="F90" s="60" t="s">
        <v>391</v>
      </c>
    </row>
    <row r="91" customFormat="false" ht="15" hidden="false" customHeight="false" outlineLevel="0" collapsed="false">
      <c r="A91" s="60" t="s">
        <v>443</v>
      </c>
      <c r="B91" s="60" t="s">
        <v>222</v>
      </c>
      <c r="C91" s="60" t="s">
        <v>347</v>
      </c>
      <c r="D91" s="61" t="n">
        <v>212.8</v>
      </c>
      <c r="E91" s="62" t="n">
        <v>16.5</v>
      </c>
      <c r="F91" s="60" t="s">
        <v>391</v>
      </c>
    </row>
    <row r="92" customFormat="false" ht="15" hidden="false" customHeight="false" outlineLevel="0" collapsed="false">
      <c r="A92" s="60" t="s">
        <v>444</v>
      </c>
      <c r="B92" s="60" t="s">
        <v>224</v>
      </c>
      <c r="C92" s="60" t="s">
        <v>339</v>
      </c>
      <c r="D92" s="61" t="n">
        <v>215</v>
      </c>
      <c r="E92" s="62" t="n">
        <v>16.7</v>
      </c>
      <c r="F92" s="60" t="s">
        <v>391</v>
      </c>
    </row>
    <row r="93" customFormat="false" ht="15" hidden="false" customHeight="false" outlineLevel="0" collapsed="false">
      <c r="A93" s="60" t="s">
        <v>445</v>
      </c>
      <c r="B93" s="60" t="s">
        <v>224</v>
      </c>
      <c r="C93" s="60" t="s">
        <v>339</v>
      </c>
      <c r="D93" s="61" t="n">
        <v>215.2</v>
      </c>
      <c r="E93" s="62" t="n">
        <v>16.7</v>
      </c>
      <c r="F93" s="60" t="s">
        <v>391</v>
      </c>
    </row>
    <row r="94" customFormat="false" ht="15" hidden="false" customHeight="false" outlineLevel="0" collapsed="false">
      <c r="A94" s="60" t="s">
        <v>446</v>
      </c>
      <c r="B94" s="60" t="s">
        <v>224</v>
      </c>
      <c r="C94" s="60" t="s">
        <v>339</v>
      </c>
      <c r="D94" s="61" t="n">
        <v>215.6</v>
      </c>
      <c r="E94" s="62" t="n">
        <v>16.7</v>
      </c>
      <c r="F94" s="60" t="s">
        <v>391</v>
      </c>
    </row>
    <row r="95" customFormat="false" ht="15" hidden="false" customHeight="false" outlineLevel="0" collapsed="false">
      <c r="A95" s="60" t="s">
        <v>447</v>
      </c>
      <c r="B95" s="60" t="s">
        <v>222</v>
      </c>
      <c r="C95" s="60" t="s">
        <v>349</v>
      </c>
      <c r="D95" s="61" t="n">
        <v>216</v>
      </c>
      <c r="E95" s="62" t="n">
        <v>16.7</v>
      </c>
      <c r="F95" s="60" t="s">
        <v>391</v>
      </c>
    </row>
    <row r="96" customFormat="false" ht="15" hidden="false" customHeight="false" outlineLevel="0" collapsed="false">
      <c r="A96" s="60" t="s">
        <v>448</v>
      </c>
      <c r="B96" s="60" t="s">
        <v>224</v>
      </c>
      <c r="C96" s="60" t="s">
        <v>339</v>
      </c>
      <c r="D96" s="61" t="n">
        <v>219.2</v>
      </c>
      <c r="E96" s="62" t="n">
        <v>17</v>
      </c>
      <c r="F96" s="60" t="s">
        <v>391</v>
      </c>
    </row>
    <row r="97" customFormat="false" ht="15" hidden="false" customHeight="false" outlineLevel="0" collapsed="false">
      <c r="A97" s="60" t="s">
        <v>449</v>
      </c>
      <c r="B97" s="60" t="s">
        <v>224</v>
      </c>
      <c r="C97" s="60" t="s">
        <v>339</v>
      </c>
      <c r="D97" s="61" t="n">
        <v>220.6</v>
      </c>
      <c r="E97" s="62" t="n">
        <v>17.1</v>
      </c>
      <c r="F97" s="60" t="s">
        <v>391</v>
      </c>
    </row>
    <row r="98" customFormat="false" ht="15" hidden="false" customHeight="false" outlineLevel="0" collapsed="false">
      <c r="A98" s="60" t="s">
        <v>450</v>
      </c>
      <c r="B98" s="60" t="s">
        <v>224</v>
      </c>
      <c r="C98" s="60" t="s">
        <v>339</v>
      </c>
      <c r="D98" s="61" t="n">
        <v>221.5</v>
      </c>
      <c r="E98" s="62" t="n">
        <v>17.2</v>
      </c>
      <c r="F98" s="60" t="s">
        <v>391</v>
      </c>
    </row>
    <row r="99" customFormat="false" ht="15" hidden="false" customHeight="false" outlineLevel="0" collapsed="false">
      <c r="A99" s="60" t="s">
        <v>451</v>
      </c>
      <c r="B99" s="60" t="s">
        <v>222</v>
      </c>
      <c r="C99" s="60" t="s">
        <v>347</v>
      </c>
      <c r="D99" s="61" t="n">
        <v>226.8</v>
      </c>
      <c r="E99" s="62" t="n">
        <v>17.6</v>
      </c>
      <c r="F99" s="60" t="s">
        <v>391</v>
      </c>
    </row>
    <row r="100" customFormat="false" ht="15" hidden="false" customHeight="false" outlineLevel="0" collapsed="false">
      <c r="A100" s="60" t="s">
        <v>452</v>
      </c>
      <c r="B100" s="60" t="s">
        <v>222</v>
      </c>
      <c r="C100" s="60" t="s">
        <v>349</v>
      </c>
      <c r="D100" s="61" t="n">
        <v>227.2</v>
      </c>
      <c r="E100" s="62" t="n">
        <v>17.6</v>
      </c>
      <c r="F100" s="60" t="s">
        <v>391</v>
      </c>
    </row>
    <row r="101" customFormat="false" ht="15" hidden="false" customHeight="false" outlineLevel="0" collapsed="false">
      <c r="A101" s="60" t="s">
        <v>453</v>
      </c>
      <c r="B101" s="60" t="s">
        <v>223</v>
      </c>
      <c r="C101" s="60" t="s">
        <v>355</v>
      </c>
      <c r="D101" s="61" t="n">
        <v>230.1</v>
      </c>
      <c r="E101" s="62" t="n">
        <v>17.8</v>
      </c>
      <c r="F101" s="60" t="s">
        <v>391</v>
      </c>
    </row>
    <row r="102" customFormat="false" ht="15" hidden="false" customHeight="false" outlineLevel="0" collapsed="false">
      <c r="A102" s="60" t="s">
        <v>454</v>
      </c>
      <c r="B102" s="60" t="s">
        <v>224</v>
      </c>
      <c r="C102" s="60" t="s">
        <v>339</v>
      </c>
      <c r="D102" s="61" t="n">
        <v>231.1</v>
      </c>
      <c r="E102" s="62" t="n">
        <v>17.9</v>
      </c>
      <c r="F102" s="60" t="s">
        <v>391</v>
      </c>
    </row>
    <row r="103" customFormat="false" ht="15" hidden="false" customHeight="false" outlineLevel="0" collapsed="false">
      <c r="A103" s="60" t="s">
        <v>455</v>
      </c>
      <c r="B103" s="60" t="s">
        <v>222</v>
      </c>
      <c r="C103" s="60" t="s">
        <v>347</v>
      </c>
      <c r="D103" s="61" t="n">
        <v>231.5</v>
      </c>
      <c r="E103" s="62" t="n">
        <v>17.9</v>
      </c>
      <c r="F103" s="60" t="s">
        <v>391</v>
      </c>
    </row>
    <row r="104" customFormat="false" ht="15" hidden="false" customHeight="false" outlineLevel="0" collapsed="false">
      <c r="A104" s="60" t="s">
        <v>456</v>
      </c>
      <c r="B104" s="60" t="s">
        <v>224</v>
      </c>
      <c r="C104" s="60" t="s">
        <v>339</v>
      </c>
      <c r="D104" s="61" t="n">
        <v>231.6</v>
      </c>
      <c r="E104" s="62" t="n">
        <v>17.9</v>
      </c>
      <c r="F104" s="60" t="s">
        <v>391</v>
      </c>
    </row>
    <row r="105" customFormat="false" ht="15" hidden="false" customHeight="false" outlineLevel="0" collapsed="false">
      <c r="A105" s="60" t="s">
        <v>457</v>
      </c>
      <c r="B105" s="60" t="s">
        <v>224</v>
      </c>
      <c r="C105" s="60" t="s">
        <v>339</v>
      </c>
      <c r="D105" s="61" t="n">
        <v>232.1</v>
      </c>
      <c r="E105" s="62" t="n">
        <v>18</v>
      </c>
      <c r="F105" s="60" t="s">
        <v>391</v>
      </c>
    </row>
    <row r="106" customFormat="false" ht="15" hidden="false" customHeight="false" outlineLevel="0" collapsed="false">
      <c r="A106" s="60" t="s">
        <v>458</v>
      </c>
      <c r="B106" s="60" t="s">
        <v>222</v>
      </c>
      <c r="C106" s="60" t="s">
        <v>349</v>
      </c>
      <c r="D106" s="61" t="n">
        <v>234.6</v>
      </c>
      <c r="E106" s="62" t="n">
        <v>18.2</v>
      </c>
      <c r="F106" s="60" t="s">
        <v>391</v>
      </c>
    </row>
    <row r="107" customFormat="false" ht="15" hidden="false" customHeight="false" outlineLevel="0" collapsed="false">
      <c r="A107" s="60" t="s">
        <v>459</v>
      </c>
      <c r="B107" s="60" t="s">
        <v>224</v>
      </c>
      <c r="C107" s="60" t="s">
        <v>339</v>
      </c>
      <c r="D107" s="61" t="n">
        <v>236.6</v>
      </c>
      <c r="E107" s="62" t="n">
        <v>18.3</v>
      </c>
      <c r="F107" s="60" t="s">
        <v>391</v>
      </c>
    </row>
    <row r="108" customFormat="false" ht="15" hidden="false" customHeight="false" outlineLevel="0" collapsed="false">
      <c r="A108" s="60" t="s">
        <v>460</v>
      </c>
      <c r="B108" s="60" t="s">
        <v>222</v>
      </c>
      <c r="C108" s="60" t="s">
        <v>349</v>
      </c>
      <c r="D108" s="61" t="n">
        <v>236.9</v>
      </c>
      <c r="E108" s="62" t="n">
        <v>18.3</v>
      </c>
      <c r="F108" s="60" t="s">
        <v>391</v>
      </c>
    </row>
    <row r="109" customFormat="false" ht="15" hidden="false" customHeight="false" outlineLevel="0" collapsed="false">
      <c r="A109" s="60" t="s">
        <v>461</v>
      </c>
      <c r="B109" s="60" t="s">
        <v>222</v>
      </c>
      <c r="C109" s="60" t="s">
        <v>347</v>
      </c>
      <c r="D109" s="61" t="n">
        <v>238.8</v>
      </c>
      <c r="E109" s="62" t="n">
        <v>18.5</v>
      </c>
      <c r="F109" s="60" t="s">
        <v>391</v>
      </c>
    </row>
    <row r="110" customFormat="false" ht="15" hidden="false" customHeight="false" outlineLevel="0" collapsed="false">
      <c r="A110" s="60" t="s">
        <v>462</v>
      </c>
      <c r="B110" s="60" t="s">
        <v>224</v>
      </c>
      <c r="C110" s="60" t="s">
        <v>339</v>
      </c>
      <c r="D110" s="61" t="n">
        <v>243</v>
      </c>
      <c r="E110" s="62" t="n">
        <v>18.8</v>
      </c>
      <c r="F110" s="60" t="s">
        <v>391</v>
      </c>
    </row>
    <row r="111" customFormat="false" ht="15" hidden="false" customHeight="false" outlineLevel="0" collapsed="false">
      <c r="A111" s="60" t="s">
        <v>463</v>
      </c>
      <c r="B111" s="60" t="s">
        <v>224</v>
      </c>
      <c r="C111" s="60" t="s">
        <v>339</v>
      </c>
      <c r="D111" s="61" t="n">
        <v>250.7</v>
      </c>
      <c r="E111" s="62" t="n">
        <v>19.4</v>
      </c>
      <c r="F111" s="60" t="s">
        <v>391</v>
      </c>
    </row>
    <row r="112" customFormat="false" ht="15" hidden="false" customHeight="false" outlineLevel="0" collapsed="false">
      <c r="A112" s="60" t="s">
        <v>464</v>
      </c>
      <c r="B112" s="60" t="s">
        <v>222</v>
      </c>
      <c r="C112" s="60" t="s">
        <v>347</v>
      </c>
      <c r="D112" s="61" t="n">
        <v>251.7</v>
      </c>
      <c r="E112" s="62" t="n">
        <v>19.5</v>
      </c>
      <c r="F112" s="60" t="s">
        <v>391</v>
      </c>
    </row>
    <row r="113" customFormat="false" ht="15" hidden="false" customHeight="false" outlineLevel="0" collapsed="false">
      <c r="A113" s="60" t="s">
        <v>465</v>
      </c>
      <c r="B113" s="60" t="s">
        <v>224</v>
      </c>
      <c r="C113" s="60" t="s">
        <v>339</v>
      </c>
      <c r="D113" s="61" t="n">
        <v>251.8</v>
      </c>
      <c r="E113" s="62" t="n">
        <v>19.5</v>
      </c>
      <c r="F113" s="60" t="s">
        <v>391</v>
      </c>
    </row>
    <row r="114" customFormat="false" ht="15" hidden="false" customHeight="false" outlineLevel="0" collapsed="false">
      <c r="A114" s="60" t="s">
        <v>466</v>
      </c>
      <c r="B114" s="60" t="s">
        <v>221</v>
      </c>
      <c r="C114" s="60" t="s">
        <v>348</v>
      </c>
      <c r="D114" s="61" t="n">
        <v>275.6</v>
      </c>
      <c r="E114" s="62" t="n">
        <v>21.3</v>
      </c>
      <c r="F114" s="60" t="s">
        <v>391</v>
      </c>
    </row>
    <row r="115" customFormat="false" ht="15" hidden="false" customHeight="false" outlineLevel="0" collapsed="false">
      <c r="A115" s="60" t="s">
        <v>467</v>
      </c>
      <c r="B115" s="60" t="s">
        <v>224</v>
      </c>
      <c r="C115" s="60" t="s">
        <v>339</v>
      </c>
      <c r="D115" s="61" t="n">
        <v>281.5</v>
      </c>
      <c r="E115" s="62" t="n">
        <v>21.8</v>
      </c>
      <c r="F115" s="60" t="s">
        <v>391</v>
      </c>
    </row>
    <row r="116" customFormat="false" ht="15" hidden="false" customHeight="false" outlineLevel="0" collapsed="false">
      <c r="A116" s="60" t="s">
        <v>468</v>
      </c>
      <c r="B116" s="60" t="s">
        <v>223</v>
      </c>
      <c r="C116" s="60" t="s">
        <v>339</v>
      </c>
      <c r="D116" s="61" t="n">
        <v>320</v>
      </c>
      <c r="E116" s="62" t="n">
        <v>24.8</v>
      </c>
      <c r="F116" s="60" t="s">
        <v>391</v>
      </c>
    </row>
    <row r="117" customFormat="false" ht="15" hidden="false" customHeight="false" outlineLevel="0" collapsed="false">
      <c r="A117" s="71" t="s">
        <v>469</v>
      </c>
      <c r="B117" s="71" t="s">
        <v>222</v>
      </c>
      <c r="C117" s="71" t="s">
        <v>347</v>
      </c>
      <c r="D117" s="72" t="n">
        <v>328.4</v>
      </c>
      <c r="E117" s="73" t="n">
        <v>25.4</v>
      </c>
      <c r="F117" s="71" t="s">
        <v>470</v>
      </c>
    </row>
    <row r="118" customFormat="false" ht="15" hidden="false" customHeight="false" outlineLevel="0" collapsed="false">
      <c r="A118" s="71" t="s">
        <v>471</v>
      </c>
      <c r="B118" s="71" t="s">
        <v>222</v>
      </c>
      <c r="C118" s="71" t="s">
        <v>347</v>
      </c>
      <c r="D118" s="72" t="n">
        <v>341.1</v>
      </c>
      <c r="E118" s="73" t="n">
        <v>26.4</v>
      </c>
      <c r="F118" s="71" t="s">
        <v>470</v>
      </c>
    </row>
    <row r="119" customFormat="false" ht="15" hidden="false" customHeight="false" outlineLevel="0" collapsed="false">
      <c r="A119" s="71" t="s">
        <v>472</v>
      </c>
      <c r="B119" s="71" t="s">
        <v>222</v>
      </c>
      <c r="C119" s="71" t="s">
        <v>349</v>
      </c>
      <c r="D119" s="72" t="n">
        <v>352.4</v>
      </c>
      <c r="E119" s="73" t="n">
        <v>27.3</v>
      </c>
      <c r="F119" s="71" t="s">
        <v>470</v>
      </c>
    </row>
    <row r="120" customFormat="false" ht="15" hidden="false" customHeight="false" outlineLevel="0" collapsed="false">
      <c r="A120" s="71" t="s">
        <v>473</v>
      </c>
      <c r="B120" s="71" t="s">
        <v>222</v>
      </c>
      <c r="C120" s="71" t="s">
        <v>349</v>
      </c>
      <c r="D120" s="72" t="n">
        <v>367.1</v>
      </c>
      <c r="E120" s="73" t="n">
        <v>28.4</v>
      </c>
      <c r="F120" s="71" t="s">
        <v>470</v>
      </c>
    </row>
    <row r="121" customFormat="false" ht="15" hidden="false" customHeight="false" outlineLevel="0" collapsed="false">
      <c r="A121" s="71" t="s">
        <v>474</v>
      </c>
      <c r="B121" s="71" t="s">
        <v>220</v>
      </c>
      <c r="C121" s="71" t="s">
        <v>339</v>
      </c>
      <c r="D121" s="72" t="n">
        <v>381.3</v>
      </c>
      <c r="E121" s="73" t="n">
        <v>29.5</v>
      </c>
      <c r="F121" s="71" t="s">
        <v>470</v>
      </c>
    </row>
    <row r="122" customFormat="false" ht="15" hidden="false" customHeight="false" outlineLevel="0" collapsed="false">
      <c r="A122" s="71" t="s">
        <v>475</v>
      </c>
      <c r="B122" s="71" t="s">
        <v>221</v>
      </c>
      <c r="C122" s="71" t="s">
        <v>341</v>
      </c>
      <c r="D122" s="72" t="n">
        <v>392.4</v>
      </c>
      <c r="E122" s="73" t="n">
        <v>30.4</v>
      </c>
      <c r="F122" s="71" t="s">
        <v>470</v>
      </c>
    </row>
    <row r="123" customFormat="false" ht="15" hidden="false" customHeight="false" outlineLevel="0" collapsed="false">
      <c r="A123" s="71" t="s">
        <v>476</v>
      </c>
      <c r="B123" s="71" t="s">
        <v>222</v>
      </c>
      <c r="C123" s="71" t="s">
        <v>347</v>
      </c>
      <c r="D123" s="72" t="n">
        <v>394.5</v>
      </c>
      <c r="E123" s="73" t="n">
        <v>30.6</v>
      </c>
      <c r="F123" s="71" t="s">
        <v>470</v>
      </c>
    </row>
    <row r="124" customFormat="false" ht="15" hidden="false" customHeight="false" outlineLevel="0" collapsed="false">
      <c r="A124" s="71" t="s">
        <v>477</v>
      </c>
      <c r="B124" s="71" t="s">
        <v>221</v>
      </c>
      <c r="C124" s="71" t="s">
        <v>348</v>
      </c>
      <c r="D124" s="72" t="n">
        <v>400.2</v>
      </c>
      <c r="E124" s="73" t="n">
        <v>31</v>
      </c>
      <c r="F124" s="71" t="s">
        <v>470</v>
      </c>
    </row>
    <row r="125" customFormat="false" ht="15" hidden="false" customHeight="false" outlineLevel="0" collapsed="false">
      <c r="A125" s="71" t="s">
        <v>478</v>
      </c>
      <c r="B125" s="71" t="s">
        <v>222</v>
      </c>
      <c r="C125" s="71" t="s">
        <v>349</v>
      </c>
      <c r="D125" s="72" t="n">
        <v>404.2</v>
      </c>
      <c r="E125" s="73" t="n">
        <v>31.3</v>
      </c>
      <c r="F125" s="71" t="s">
        <v>470</v>
      </c>
    </row>
    <row r="126" customFormat="false" ht="15" hidden="false" customHeight="false" outlineLevel="0" collapsed="false">
      <c r="A126" s="71" t="s">
        <v>479</v>
      </c>
      <c r="B126" s="71" t="s">
        <v>221</v>
      </c>
      <c r="C126" s="71" t="s">
        <v>348</v>
      </c>
      <c r="D126" s="72" t="n">
        <v>404.2</v>
      </c>
      <c r="E126" s="73" t="n">
        <v>31.3</v>
      </c>
      <c r="F126" s="71" t="s">
        <v>470</v>
      </c>
    </row>
    <row r="127" customFormat="false" ht="15" hidden="false" customHeight="false" outlineLevel="0" collapsed="false">
      <c r="A127" s="71" t="s">
        <v>480</v>
      </c>
      <c r="B127" s="71" t="s">
        <v>222</v>
      </c>
      <c r="C127" s="71" t="s">
        <v>347</v>
      </c>
      <c r="D127" s="72" t="n">
        <v>406.4</v>
      </c>
      <c r="E127" s="73" t="n">
        <v>31.5</v>
      </c>
      <c r="F127" s="71" t="s">
        <v>470</v>
      </c>
    </row>
    <row r="128" customFormat="false" ht="15" hidden="false" customHeight="false" outlineLevel="0" collapsed="false">
      <c r="A128" s="71" t="s">
        <v>481</v>
      </c>
      <c r="B128" s="71" t="s">
        <v>223</v>
      </c>
      <c r="C128" s="71" t="s">
        <v>343</v>
      </c>
      <c r="D128" s="72" t="n">
        <v>410.4</v>
      </c>
      <c r="E128" s="73" t="n">
        <v>31.8</v>
      </c>
      <c r="F128" s="71" t="s">
        <v>470</v>
      </c>
    </row>
    <row r="129" customFormat="false" ht="15" hidden="false" customHeight="false" outlineLevel="0" collapsed="false">
      <c r="A129" s="71" t="s">
        <v>482</v>
      </c>
      <c r="B129" s="71" t="s">
        <v>223</v>
      </c>
      <c r="C129" s="71" t="s">
        <v>343</v>
      </c>
      <c r="D129" s="72" t="n">
        <v>423.4</v>
      </c>
      <c r="E129" s="73" t="n">
        <v>32.8</v>
      </c>
      <c r="F129" s="71" t="s">
        <v>470</v>
      </c>
    </row>
    <row r="130" customFormat="false" ht="15" hidden="false" customHeight="false" outlineLevel="0" collapsed="false">
      <c r="A130" s="71" t="s">
        <v>483</v>
      </c>
      <c r="B130" s="71" t="s">
        <v>221</v>
      </c>
      <c r="C130" s="71" t="s">
        <v>341</v>
      </c>
      <c r="D130" s="72" t="n">
        <v>424.3</v>
      </c>
      <c r="E130" s="73" t="n">
        <v>32.9</v>
      </c>
      <c r="F130" s="71" t="s">
        <v>470</v>
      </c>
    </row>
    <row r="131" customFormat="false" ht="15" hidden="false" customHeight="false" outlineLevel="0" collapsed="false">
      <c r="A131" s="71" t="s">
        <v>484</v>
      </c>
      <c r="B131" s="71" t="s">
        <v>220</v>
      </c>
      <c r="C131" s="71" t="s">
        <v>339</v>
      </c>
      <c r="D131" s="72" t="n">
        <v>427.7</v>
      </c>
      <c r="E131" s="73" t="n">
        <v>33.1</v>
      </c>
      <c r="F131" s="71" t="s">
        <v>470</v>
      </c>
    </row>
    <row r="132" customFormat="false" ht="15" hidden="false" customHeight="false" outlineLevel="0" collapsed="false">
      <c r="A132" s="71" t="s">
        <v>485</v>
      </c>
      <c r="B132" s="71" t="s">
        <v>220</v>
      </c>
      <c r="C132" s="71" t="s">
        <v>339</v>
      </c>
      <c r="D132" s="72" t="n">
        <v>432.1</v>
      </c>
      <c r="E132" s="73" t="n">
        <v>33.5</v>
      </c>
      <c r="F132" s="71" t="s">
        <v>470</v>
      </c>
    </row>
    <row r="133" customFormat="false" ht="15" hidden="false" customHeight="false" outlineLevel="0" collapsed="false">
      <c r="A133" s="71" t="s">
        <v>486</v>
      </c>
      <c r="B133" s="71" t="s">
        <v>222</v>
      </c>
      <c r="C133" s="71" t="s">
        <v>349</v>
      </c>
      <c r="D133" s="72" t="n">
        <v>435.4</v>
      </c>
      <c r="E133" s="73" t="n">
        <v>33.7</v>
      </c>
      <c r="F133" s="71" t="s">
        <v>470</v>
      </c>
    </row>
    <row r="134" customFormat="false" ht="15" hidden="false" customHeight="false" outlineLevel="0" collapsed="false">
      <c r="A134" s="71" t="s">
        <v>487</v>
      </c>
      <c r="B134" s="71" t="s">
        <v>221</v>
      </c>
      <c r="C134" s="71" t="s">
        <v>348</v>
      </c>
      <c r="D134" s="72" t="n">
        <v>448.5</v>
      </c>
      <c r="E134" s="73" t="n">
        <v>34.7</v>
      </c>
      <c r="F134" s="71" t="s">
        <v>470</v>
      </c>
    </row>
    <row r="135" customFormat="false" ht="15" hidden="false" customHeight="false" outlineLevel="0" collapsed="false">
      <c r="A135" s="71" t="s">
        <v>488</v>
      </c>
      <c r="B135" s="71" t="s">
        <v>220</v>
      </c>
      <c r="C135" s="71" t="s">
        <v>339</v>
      </c>
      <c r="D135" s="72" t="n">
        <v>450.7</v>
      </c>
      <c r="E135" s="73" t="n">
        <v>34.9</v>
      </c>
      <c r="F135" s="71" t="s">
        <v>470</v>
      </c>
    </row>
    <row r="136" customFormat="false" ht="15" hidden="false" customHeight="false" outlineLevel="0" collapsed="false">
      <c r="A136" s="71" t="s">
        <v>489</v>
      </c>
      <c r="B136" s="71" t="s">
        <v>220</v>
      </c>
      <c r="C136" s="71" t="s">
        <v>339</v>
      </c>
      <c r="D136" s="72" t="n">
        <v>451.7</v>
      </c>
      <c r="E136" s="73" t="n">
        <v>35</v>
      </c>
      <c r="F136" s="71" t="s">
        <v>470</v>
      </c>
    </row>
    <row r="137" customFormat="false" ht="15" hidden="false" customHeight="false" outlineLevel="0" collapsed="false">
      <c r="A137" s="71" t="s">
        <v>490</v>
      </c>
      <c r="B137" s="71" t="s">
        <v>221</v>
      </c>
      <c r="C137" s="71" t="s">
        <v>348</v>
      </c>
      <c r="D137" s="72" t="n">
        <v>458.1</v>
      </c>
      <c r="E137" s="73" t="n">
        <v>35.5</v>
      </c>
      <c r="F137" s="71" t="s">
        <v>470</v>
      </c>
    </row>
    <row r="138" customFormat="false" ht="15" hidden="false" customHeight="false" outlineLevel="0" collapsed="false">
      <c r="A138" s="71" t="s">
        <v>491</v>
      </c>
      <c r="B138" s="71" t="s">
        <v>221</v>
      </c>
      <c r="C138" s="71" t="s">
        <v>341</v>
      </c>
      <c r="D138" s="72" t="n">
        <v>459.7</v>
      </c>
      <c r="E138" s="73" t="n">
        <v>35.6</v>
      </c>
      <c r="F138" s="71" t="s">
        <v>470</v>
      </c>
    </row>
    <row r="139" customFormat="false" ht="15" hidden="false" customHeight="false" outlineLevel="0" collapsed="false">
      <c r="A139" s="71" t="s">
        <v>492</v>
      </c>
      <c r="B139" s="71" t="s">
        <v>221</v>
      </c>
      <c r="C139" s="71" t="s">
        <v>341</v>
      </c>
      <c r="D139" s="72" t="n">
        <v>459.9</v>
      </c>
      <c r="E139" s="73" t="n">
        <v>35.6</v>
      </c>
      <c r="F139" s="71" t="s">
        <v>470</v>
      </c>
    </row>
    <row r="140" customFormat="false" ht="15" hidden="false" customHeight="false" outlineLevel="0" collapsed="false">
      <c r="A140" s="71" t="s">
        <v>493</v>
      </c>
      <c r="B140" s="71" t="s">
        <v>223</v>
      </c>
      <c r="C140" s="71" t="s">
        <v>341</v>
      </c>
      <c r="D140" s="72" t="n">
        <v>467.9</v>
      </c>
      <c r="E140" s="73" t="n">
        <v>36.2</v>
      </c>
      <c r="F140" s="71" t="s">
        <v>470</v>
      </c>
    </row>
    <row r="141" customFormat="false" ht="15" hidden="false" customHeight="false" outlineLevel="0" collapsed="false">
      <c r="A141" s="71" t="s">
        <v>494</v>
      </c>
      <c r="B141" s="71" t="s">
        <v>221</v>
      </c>
      <c r="C141" s="71" t="s">
        <v>341</v>
      </c>
      <c r="D141" s="72" t="n">
        <v>470.6</v>
      </c>
      <c r="E141" s="73" t="n">
        <v>36.5</v>
      </c>
      <c r="F141" s="71" t="s">
        <v>470</v>
      </c>
    </row>
    <row r="142" customFormat="false" ht="15" hidden="false" customHeight="false" outlineLevel="0" collapsed="false">
      <c r="A142" s="71" t="s">
        <v>495</v>
      </c>
      <c r="B142" s="71" t="s">
        <v>222</v>
      </c>
      <c r="C142" s="71" t="s">
        <v>347</v>
      </c>
      <c r="D142" s="72" t="n">
        <v>472</v>
      </c>
      <c r="E142" s="73" t="n">
        <v>36.6</v>
      </c>
      <c r="F142" s="71" t="s">
        <v>470</v>
      </c>
    </row>
    <row r="143" customFormat="false" ht="15" hidden="false" customHeight="false" outlineLevel="0" collapsed="false">
      <c r="A143" s="71" t="s">
        <v>496</v>
      </c>
      <c r="B143" s="71" t="s">
        <v>221</v>
      </c>
      <c r="C143" s="71" t="s">
        <v>341</v>
      </c>
      <c r="D143" s="72" t="n">
        <v>473.9</v>
      </c>
      <c r="E143" s="73" t="n">
        <v>36.7</v>
      </c>
      <c r="F143" s="71" t="s">
        <v>470</v>
      </c>
    </row>
    <row r="144" customFormat="false" ht="15" hidden="false" customHeight="false" outlineLevel="0" collapsed="false">
      <c r="A144" s="71" t="s">
        <v>497</v>
      </c>
      <c r="B144" s="71" t="s">
        <v>220</v>
      </c>
      <c r="C144" s="71" t="s">
        <v>339</v>
      </c>
      <c r="D144" s="72" t="n">
        <v>474.6</v>
      </c>
      <c r="E144" s="73" t="n">
        <v>36.8</v>
      </c>
      <c r="F144" s="71" t="s">
        <v>470</v>
      </c>
    </row>
    <row r="145" customFormat="false" ht="15" hidden="false" customHeight="false" outlineLevel="0" collapsed="false">
      <c r="A145" s="71" t="s">
        <v>498</v>
      </c>
      <c r="B145" s="71" t="s">
        <v>220</v>
      </c>
      <c r="C145" s="71" t="s">
        <v>339</v>
      </c>
      <c r="D145" s="72" t="n">
        <v>499.7</v>
      </c>
      <c r="E145" s="73" t="n">
        <v>38.7</v>
      </c>
      <c r="F145" s="71" t="s">
        <v>470</v>
      </c>
    </row>
    <row r="146" customFormat="false" ht="15" hidden="false" customHeight="false" outlineLevel="0" collapsed="false">
      <c r="A146" s="71" t="s">
        <v>499</v>
      </c>
      <c r="B146" s="71" t="s">
        <v>221</v>
      </c>
      <c r="C146" s="71" t="s">
        <v>348</v>
      </c>
      <c r="D146" s="72" t="n">
        <v>501.7</v>
      </c>
      <c r="E146" s="73" t="n">
        <v>38.9</v>
      </c>
      <c r="F146" s="71" t="s">
        <v>470</v>
      </c>
    </row>
    <row r="147" customFormat="false" ht="15" hidden="false" customHeight="false" outlineLevel="0" collapsed="false">
      <c r="A147" s="71" t="s">
        <v>500</v>
      </c>
      <c r="B147" s="71" t="s">
        <v>220</v>
      </c>
      <c r="C147" s="71" t="s">
        <v>339</v>
      </c>
      <c r="D147" s="72" t="n">
        <v>502.1</v>
      </c>
      <c r="E147" s="73" t="n">
        <v>38.9</v>
      </c>
      <c r="F147" s="71" t="s">
        <v>470</v>
      </c>
    </row>
    <row r="148" customFormat="false" ht="15" hidden="false" customHeight="false" outlineLevel="0" collapsed="false">
      <c r="A148" s="71" t="s">
        <v>501</v>
      </c>
      <c r="B148" s="71" t="s">
        <v>221</v>
      </c>
      <c r="C148" s="71" t="s">
        <v>348</v>
      </c>
      <c r="D148" s="72" t="n">
        <v>505.4</v>
      </c>
      <c r="E148" s="73" t="n">
        <v>39.1</v>
      </c>
      <c r="F148" s="71" t="s">
        <v>470</v>
      </c>
    </row>
    <row r="149" customFormat="false" ht="15" hidden="false" customHeight="false" outlineLevel="0" collapsed="false">
      <c r="A149" s="71" t="s">
        <v>502</v>
      </c>
      <c r="B149" s="71" t="s">
        <v>223</v>
      </c>
      <c r="C149" s="71" t="s">
        <v>344</v>
      </c>
      <c r="D149" s="72" t="n">
        <v>509.4</v>
      </c>
      <c r="E149" s="73" t="n">
        <v>39.5</v>
      </c>
      <c r="F149" s="71" t="s">
        <v>470</v>
      </c>
    </row>
    <row r="150" customFormat="false" ht="15" hidden="false" customHeight="false" outlineLevel="0" collapsed="false">
      <c r="A150" s="71" t="s">
        <v>503</v>
      </c>
      <c r="B150" s="71" t="s">
        <v>220</v>
      </c>
      <c r="C150" s="71" t="s">
        <v>339</v>
      </c>
      <c r="D150" s="72" t="n">
        <v>513.2</v>
      </c>
      <c r="E150" s="73" t="n">
        <v>39.8</v>
      </c>
      <c r="F150" s="71" t="s">
        <v>470</v>
      </c>
    </row>
    <row r="151" customFormat="false" ht="15" hidden="false" customHeight="false" outlineLevel="0" collapsed="false">
      <c r="A151" s="71" t="s">
        <v>504</v>
      </c>
      <c r="B151" s="71" t="s">
        <v>223</v>
      </c>
      <c r="C151" s="71" t="s">
        <v>343</v>
      </c>
      <c r="D151" s="72" t="n">
        <v>514.3</v>
      </c>
      <c r="E151" s="73" t="n">
        <v>39.8</v>
      </c>
      <c r="F151" s="71" t="s">
        <v>470</v>
      </c>
    </row>
    <row r="152" customFormat="false" ht="15" hidden="false" customHeight="false" outlineLevel="0" collapsed="false">
      <c r="A152" s="71" t="s">
        <v>505</v>
      </c>
      <c r="B152" s="71" t="s">
        <v>222</v>
      </c>
      <c r="C152" s="71" t="s">
        <v>347</v>
      </c>
      <c r="D152" s="72" t="n">
        <v>515.9</v>
      </c>
      <c r="E152" s="73" t="n">
        <v>40</v>
      </c>
      <c r="F152" s="71" t="s">
        <v>470</v>
      </c>
    </row>
    <row r="153" customFormat="false" ht="15" hidden="false" customHeight="false" outlineLevel="0" collapsed="false">
      <c r="A153" s="71" t="s">
        <v>506</v>
      </c>
      <c r="B153" s="71" t="s">
        <v>222</v>
      </c>
      <c r="C153" s="71" t="s">
        <v>347</v>
      </c>
      <c r="D153" s="72" t="n">
        <v>521.4</v>
      </c>
      <c r="E153" s="73" t="n">
        <v>40.4</v>
      </c>
      <c r="F153" s="71" t="s">
        <v>470</v>
      </c>
    </row>
    <row r="154" customFormat="false" ht="15" hidden="false" customHeight="false" outlineLevel="0" collapsed="false">
      <c r="A154" s="71" t="s">
        <v>507</v>
      </c>
      <c r="B154" s="71" t="s">
        <v>221</v>
      </c>
      <c r="C154" s="71" t="s">
        <v>339</v>
      </c>
      <c r="D154" s="72" t="n">
        <v>521.5</v>
      </c>
      <c r="E154" s="73" t="n">
        <v>40.4</v>
      </c>
      <c r="F154" s="71" t="s">
        <v>470</v>
      </c>
    </row>
    <row r="155" customFormat="false" ht="15" hidden="false" customHeight="false" outlineLevel="0" collapsed="false">
      <c r="A155" s="71" t="s">
        <v>508</v>
      </c>
      <c r="B155" s="71" t="s">
        <v>221</v>
      </c>
      <c r="C155" s="71" t="s">
        <v>341</v>
      </c>
      <c r="D155" s="72" t="n">
        <v>522.3</v>
      </c>
      <c r="E155" s="73" t="n">
        <v>40.5</v>
      </c>
      <c r="F155" s="71" t="s">
        <v>470</v>
      </c>
    </row>
    <row r="156" customFormat="false" ht="15" hidden="false" customHeight="false" outlineLevel="0" collapsed="false">
      <c r="A156" s="71" t="s">
        <v>509</v>
      </c>
      <c r="B156" s="71" t="s">
        <v>223</v>
      </c>
      <c r="C156" s="71" t="s">
        <v>343</v>
      </c>
      <c r="D156" s="72" t="n">
        <v>524.3</v>
      </c>
      <c r="E156" s="73" t="n">
        <v>40.6</v>
      </c>
      <c r="F156" s="71" t="s">
        <v>470</v>
      </c>
    </row>
    <row r="157" customFormat="false" ht="15" hidden="false" customHeight="false" outlineLevel="0" collapsed="false">
      <c r="A157" s="71" t="s">
        <v>510</v>
      </c>
      <c r="B157" s="71" t="s">
        <v>220</v>
      </c>
      <c r="C157" s="71" t="s">
        <v>339</v>
      </c>
      <c r="D157" s="72" t="n">
        <v>529</v>
      </c>
      <c r="E157" s="73" t="n">
        <v>41</v>
      </c>
      <c r="F157" s="71" t="s">
        <v>470</v>
      </c>
    </row>
    <row r="158" customFormat="false" ht="15" hidden="false" customHeight="false" outlineLevel="0" collapsed="false">
      <c r="A158" s="71" t="s">
        <v>511</v>
      </c>
      <c r="B158" s="71" t="s">
        <v>221</v>
      </c>
      <c r="C158" s="71" t="s">
        <v>341</v>
      </c>
      <c r="D158" s="72" t="n">
        <v>533.6</v>
      </c>
      <c r="E158" s="73" t="n">
        <v>41.3</v>
      </c>
      <c r="F158" s="71" t="s">
        <v>470</v>
      </c>
    </row>
    <row r="159" customFormat="false" ht="15" hidden="false" customHeight="false" outlineLevel="0" collapsed="false">
      <c r="A159" s="71" t="s">
        <v>512</v>
      </c>
      <c r="B159" s="71" t="s">
        <v>220</v>
      </c>
      <c r="C159" s="71" t="s">
        <v>339</v>
      </c>
      <c r="D159" s="72" t="n">
        <v>534.6</v>
      </c>
      <c r="E159" s="73" t="n">
        <v>41.4</v>
      </c>
      <c r="F159" s="71" t="s">
        <v>470</v>
      </c>
    </row>
    <row r="160" customFormat="false" ht="15" hidden="false" customHeight="false" outlineLevel="0" collapsed="false">
      <c r="A160" s="71" t="s">
        <v>513</v>
      </c>
      <c r="B160" s="71" t="s">
        <v>221</v>
      </c>
      <c r="C160" s="71" t="s">
        <v>341</v>
      </c>
      <c r="D160" s="72" t="n">
        <v>542.2</v>
      </c>
      <c r="E160" s="73" t="n">
        <v>42</v>
      </c>
      <c r="F160" s="71" t="s">
        <v>470</v>
      </c>
    </row>
    <row r="161" customFormat="false" ht="15" hidden="false" customHeight="false" outlineLevel="0" collapsed="false">
      <c r="A161" s="71" t="s">
        <v>514</v>
      </c>
      <c r="B161" s="71" t="s">
        <v>220</v>
      </c>
      <c r="C161" s="71" t="s">
        <v>339</v>
      </c>
      <c r="D161" s="72" t="n">
        <v>552.7</v>
      </c>
      <c r="E161" s="73" t="n">
        <v>42.8</v>
      </c>
      <c r="F161" s="71" t="s">
        <v>470</v>
      </c>
    </row>
    <row r="162" customFormat="false" ht="15" hidden="false" customHeight="false" outlineLevel="0" collapsed="false">
      <c r="A162" s="71" t="s">
        <v>515</v>
      </c>
      <c r="B162" s="71" t="s">
        <v>220</v>
      </c>
      <c r="C162" s="71" t="s">
        <v>339</v>
      </c>
      <c r="D162" s="72" t="n">
        <v>555.5</v>
      </c>
      <c r="E162" s="73" t="n">
        <v>43</v>
      </c>
      <c r="F162" s="71" t="s">
        <v>470</v>
      </c>
    </row>
    <row r="163" customFormat="false" ht="15" hidden="false" customHeight="false" outlineLevel="0" collapsed="false">
      <c r="A163" s="71" t="s">
        <v>516</v>
      </c>
      <c r="B163" s="71" t="s">
        <v>220</v>
      </c>
      <c r="C163" s="71" t="s">
        <v>339</v>
      </c>
      <c r="D163" s="72" t="n">
        <v>556</v>
      </c>
      <c r="E163" s="73" t="n">
        <v>43.1</v>
      </c>
      <c r="F163" s="71" t="s">
        <v>470</v>
      </c>
    </row>
    <row r="164" customFormat="false" ht="15" hidden="false" customHeight="false" outlineLevel="0" collapsed="false">
      <c r="A164" s="71" t="s">
        <v>517</v>
      </c>
      <c r="B164" s="71" t="s">
        <v>222</v>
      </c>
      <c r="C164" s="71" t="s">
        <v>347</v>
      </c>
      <c r="D164" s="72" t="n">
        <v>556.3</v>
      </c>
      <c r="E164" s="73" t="n">
        <v>43.1</v>
      </c>
      <c r="F164" s="71" t="s">
        <v>470</v>
      </c>
    </row>
    <row r="165" customFormat="false" ht="15" hidden="false" customHeight="false" outlineLevel="0" collapsed="false">
      <c r="A165" s="71" t="s">
        <v>518</v>
      </c>
      <c r="B165" s="71" t="s">
        <v>220</v>
      </c>
      <c r="C165" s="71" t="s">
        <v>339</v>
      </c>
      <c r="D165" s="72" t="n">
        <v>562.1</v>
      </c>
      <c r="E165" s="73" t="n">
        <v>43.5</v>
      </c>
      <c r="F165" s="71" t="s">
        <v>470</v>
      </c>
    </row>
    <row r="166" customFormat="false" ht="15" hidden="false" customHeight="false" outlineLevel="0" collapsed="false">
      <c r="A166" s="71" t="s">
        <v>519</v>
      </c>
      <c r="B166" s="71" t="s">
        <v>221</v>
      </c>
      <c r="C166" s="71" t="s">
        <v>341</v>
      </c>
      <c r="D166" s="72" t="n">
        <v>576</v>
      </c>
      <c r="E166" s="73" t="n">
        <v>44.6</v>
      </c>
      <c r="F166" s="71" t="s">
        <v>470</v>
      </c>
    </row>
    <row r="167" customFormat="false" ht="15" hidden="false" customHeight="false" outlineLevel="0" collapsed="false">
      <c r="A167" s="71" t="s">
        <v>520</v>
      </c>
      <c r="B167" s="71" t="s">
        <v>223</v>
      </c>
      <c r="C167" s="71" t="s">
        <v>355</v>
      </c>
      <c r="D167" s="72" t="n">
        <v>579.3</v>
      </c>
      <c r="E167" s="73" t="n">
        <v>44.9</v>
      </c>
      <c r="F167" s="71" t="s">
        <v>470</v>
      </c>
    </row>
    <row r="168" customFormat="false" ht="15" hidden="false" customHeight="false" outlineLevel="0" collapsed="false">
      <c r="A168" s="71" t="s">
        <v>521</v>
      </c>
      <c r="B168" s="71" t="s">
        <v>221</v>
      </c>
      <c r="C168" s="71" t="s">
        <v>341</v>
      </c>
      <c r="D168" s="72" t="n">
        <v>589.9</v>
      </c>
      <c r="E168" s="73" t="n">
        <v>45.7</v>
      </c>
      <c r="F168" s="71" t="s">
        <v>470</v>
      </c>
    </row>
    <row r="169" customFormat="false" ht="15" hidden="false" customHeight="false" outlineLevel="0" collapsed="false">
      <c r="A169" s="71" t="s">
        <v>522</v>
      </c>
      <c r="B169" s="71" t="s">
        <v>220</v>
      </c>
      <c r="C169" s="71" t="s">
        <v>339</v>
      </c>
      <c r="D169" s="72" t="n">
        <v>590.7</v>
      </c>
      <c r="E169" s="73" t="n">
        <v>45.8</v>
      </c>
      <c r="F169" s="71" t="s">
        <v>470</v>
      </c>
    </row>
    <row r="170" customFormat="false" ht="15" hidden="false" customHeight="false" outlineLevel="0" collapsed="false">
      <c r="A170" s="71" t="s">
        <v>523</v>
      </c>
      <c r="B170" s="71" t="s">
        <v>221</v>
      </c>
      <c r="C170" s="71" t="s">
        <v>341</v>
      </c>
      <c r="D170" s="72" t="n">
        <v>590.7</v>
      </c>
      <c r="E170" s="73" t="n">
        <v>45.8</v>
      </c>
      <c r="F170" s="71" t="s">
        <v>470</v>
      </c>
    </row>
    <row r="171" customFormat="false" ht="15" hidden="false" customHeight="false" outlineLevel="0" collapsed="false">
      <c r="A171" s="71" t="s">
        <v>315</v>
      </c>
      <c r="B171" s="71" t="s">
        <v>223</v>
      </c>
      <c r="C171" s="71" t="s">
        <v>343</v>
      </c>
      <c r="D171" s="72" t="n">
        <v>609.5</v>
      </c>
      <c r="E171" s="73" t="n">
        <v>47.2</v>
      </c>
      <c r="F171" s="71" t="s">
        <v>470</v>
      </c>
    </row>
    <row r="172" customFormat="false" ht="15" hidden="false" customHeight="false" outlineLevel="0" collapsed="false">
      <c r="A172" s="71" t="s">
        <v>313</v>
      </c>
      <c r="B172" s="71" t="s">
        <v>220</v>
      </c>
      <c r="C172" s="71" t="s">
        <v>339</v>
      </c>
      <c r="D172" s="72" t="n">
        <v>611.8</v>
      </c>
      <c r="E172" s="73" t="n">
        <v>47.4</v>
      </c>
      <c r="F172" s="71" t="s">
        <v>470</v>
      </c>
    </row>
    <row r="173" customFormat="false" ht="15" hidden="false" customHeight="false" outlineLevel="0" collapsed="false">
      <c r="A173" s="71" t="s">
        <v>306</v>
      </c>
      <c r="B173" s="71" t="s">
        <v>220</v>
      </c>
      <c r="C173" s="71" t="s">
        <v>339</v>
      </c>
      <c r="D173" s="72" t="n">
        <v>617.1</v>
      </c>
      <c r="E173" s="73" t="n">
        <v>47.8</v>
      </c>
      <c r="F173" s="71" t="s">
        <v>470</v>
      </c>
    </row>
    <row r="174" customFormat="false" ht="15" hidden="false" customHeight="false" outlineLevel="0" collapsed="false">
      <c r="A174" s="71" t="s">
        <v>302</v>
      </c>
      <c r="B174" s="71" t="s">
        <v>223</v>
      </c>
      <c r="C174" s="71" t="s">
        <v>346</v>
      </c>
      <c r="D174" s="72" t="n">
        <v>624.3</v>
      </c>
      <c r="E174" s="73" t="n">
        <v>48.4</v>
      </c>
      <c r="F174" s="71" t="s">
        <v>470</v>
      </c>
    </row>
    <row r="175" customFormat="false" ht="15" hidden="false" customHeight="false" outlineLevel="0" collapsed="false">
      <c r="A175" s="71" t="s">
        <v>297</v>
      </c>
      <c r="B175" s="71" t="s">
        <v>220</v>
      </c>
      <c r="C175" s="71" t="s">
        <v>346</v>
      </c>
      <c r="D175" s="72" t="n">
        <v>630.7</v>
      </c>
      <c r="E175" s="73" t="n">
        <v>48.9</v>
      </c>
      <c r="F175" s="71" t="s">
        <v>470</v>
      </c>
    </row>
    <row r="176" customFormat="false" ht="15" hidden="false" customHeight="false" outlineLevel="0" collapsed="false">
      <c r="A176" s="71" t="s">
        <v>293</v>
      </c>
      <c r="B176" s="71" t="s">
        <v>223</v>
      </c>
      <c r="C176" s="71" t="s">
        <v>343</v>
      </c>
      <c r="D176" s="72" t="n">
        <v>632.9</v>
      </c>
      <c r="E176" s="73" t="n">
        <v>49</v>
      </c>
      <c r="F176" s="71" t="s">
        <v>470</v>
      </c>
    </row>
    <row r="177" customFormat="false" ht="15" hidden="false" customHeight="false" outlineLevel="0" collapsed="false">
      <c r="A177" s="74" t="s">
        <v>284</v>
      </c>
      <c r="B177" s="74" t="s">
        <v>223</v>
      </c>
      <c r="C177" s="74" t="s">
        <v>346</v>
      </c>
      <c r="D177" s="75" t="n">
        <v>707.8</v>
      </c>
      <c r="E177" s="76" t="n">
        <v>54.8</v>
      </c>
      <c r="F177" s="74" t="s">
        <v>524</v>
      </c>
    </row>
    <row r="178" customFormat="false" ht="15" hidden="false" customHeight="false" outlineLevel="0" collapsed="false">
      <c r="A178" s="74" t="s">
        <v>282</v>
      </c>
      <c r="B178" s="74" t="s">
        <v>223</v>
      </c>
      <c r="C178" s="74" t="s">
        <v>346</v>
      </c>
      <c r="D178" s="75" t="n">
        <v>712.5</v>
      </c>
      <c r="E178" s="76" t="n">
        <v>55.2</v>
      </c>
      <c r="F178" s="74" t="s">
        <v>524</v>
      </c>
    </row>
    <row r="179" customFormat="false" ht="15" hidden="false" customHeight="false" outlineLevel="0" collapsed="false">
      <c r="A179" s="74" t="s">
        <v>278</v>
      </c>
      <c r="B179" s="74" t="s">
        <v>223</v>
      </c>
      <c r="C179" s="74" t="s">
        <v>355</v>
      </c>
      <c r="D179" s="75" t="n">
        <v>1283.9</v>
      </c>
      <c r="E179" s="76" t="n">
        <v>99.4</v>
      </c>
      <c r="F179" s="74" t="s">
        <v>524</v>
      </c>
    </row>
  </sheetData>
  <mergeCells count="8">
    <mergeCell ref="A1:F1"/>
    <mergeCell ref="A10:F10"/>
    <mergeCell ref="A11:F11"/>
    <mergeCell ref="A12:F12"/>
    <mergeCell ref="A13:F13"/>
    <mergeCell ref="A14:F14"/>
    <mergeCell ref="A15:F1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525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43157</v>
      </c>
    </row>
    <row r="4" customFormat="false" ht="15" hidden="false" customHeight="false" outlineLevel="0" collapsed="false">
      <c r="A4" s="39" t="s">
        <v>134</v>
      </c>
      <c r="B4" s="0" t="n">
        <v>155</v>
      </c>
    </row>
    <row r="5" customFormat="false" ht="15" hidden="false" customHeight="false" outlineLevel="0" collapsed="false">
      <c r="A5" s="39" t="s">
        <v>368</v>
      </c>
      <c r="B5" s="53" t="s">
        <v>526</v>
      </c>
    </row>
    <row r="6" customFormat="false" ht="15" hidden="false" customHeight="false" outlineLevel="0" collapsed="false">
      <c r="A6" s="39" t="s">
        <v>370</v>
      </c>
      <c r="B6" s="54" t="n">
        <v>23.7598108194501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0.475196216389002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527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528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529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530</v>
      </c>
      <c r="B14" s="58"/>
      <c r="C14" s="58"/>
      <c r="D14" s="58"/>
      <c r="E14" s="58"/>
      <c r="F14" s="58"/>
    </row>
    <row r="16" customFormat="false" ht="15" hidden="false" customHeight="false" outlineLevel="0" collapsed="false">
      <c r="A16" s="59" t="s">
        <v>378</v>
      </c>
    </row>
    <row r="17" customFormat="false" ht="26.85" hidden="false" customHeight="false" outlineLevel="0" collapsed="false">
      <c r="A17" s="6" t="s">
        <v>210</v>
      </c>
      <c r="B17" s="6" t="s">
        <v>134</v>
      </c>
      <c r="C17" s="6" t="s">
        <v>132</v>
      </c>
      <c r="D17" s="6" t="s">
        <v>379</v>
      </c>
      <c r="E17" s="6" t="s">
        <v>380</v>
      </c>
    </row>
    <row r="18" customFormat="false" ht="15" hidden="false" customHeight="false" outlineLevel="0" collapsed="false">
      <c r="A18" s="63" t="s">
        <v>226</v>
      </c>
      <c r="B18" s="63" t="n">
        <v>38</v>
      </c>
      <c r="C18" s="64" t="n">
        <v>9797.6</v>
      </c>
      <c r="D18" s="65" t="n">
        <v>257.8</v>
      </c>
      <c r="E18" s="65" t="n">
        <v>22</v>
      </c>
    </row>
    <row r="19" customFormat="false" ht="15" hidden="false" customHeight="false" outlineLevel="0" collapsed="false">
      <c r="A19" s="60" t="s">
        <v>227</v>
      </c>
      <c r="B19" s="60" t="n">
        <v>19</v>
      </c>
      <c r="C19" s="61" t="n">
        <v>9054.4</v>
      </c>
      <c r="D19" s="62" t="n">
        <v>476.5</v>
      </c>
      <c r="E19" s="62" t="n">
        <v>40.7</v>
      </c>
    </row>
    <row r="20" customFormat="false" ht="15" hidden="false" customHeight="false" outlineLevel="0" collapsed="false">
      <c r="A20" s="63" t="s">
        <v>228</v>
      </c>
      <c r="B20" s="63" t="n">
        <v>35</v>
      </c>
      <c r="C20" s="64" t="n">
        <v>8977.2</v>
      </c>
      <c r="D20" s="65" t="n">
        <v>256.5</v>
      </c>
      <c r="E20" s="65" t="n">
        <v>21.9</v>
      </c>
    </row>
    <row r="21" customFormat="false" ht="15" hidden="false" customHeight="false" outlineLevel="0" collapsed="false">
      <c r="A21" s="60" t="s">
        <v>229</v>
      </c>
      <c r="B21" s="60" t="n">
        <v>18</v>
      </c>
      <c r="C21" s="61" t="n">
        <v>6171.7</v>
      </c>
      <c r="D21" s="62" t="n">
        <v>342.9</v>
      </c>
      <c r="E21" s="62" t="n">
        <v>29.3</v>
      </c>
    </row>
    <row r="22" customFormat="false" ht="15" hidden="false" customHeight="false" outlineLevel="0" collapsed="false">
      <c r="A22" s="60" t="s">
        <v>230</v>
      </c>
      <c r="B22" s="60" t="n">
        <v>17</v>
      </c>
      <c r="C22" s="61" t="n">
        <v>5099.6</v>
      </c>
      <c r="D22" s="62" t="n">
        <v>300</v>
      </c>
      <c r="E22" s="62" t="n">
        <v>25.6</v>
      </c>
    </row>
    <row r="23" customFormat="false" ht="15" hidden="false" customHeight="false" outlineLevel="0" collapsed="false">
      <c r="A23" s="63" t="s">
        <v>231</v>
      </c>
      <c r="B23" s="63" t="n">
        <v>28</v>
      </c>
      <c r="C23" s="64" t="n">
        <v>4056.5</v>
      </c>
      <c r="D23" s="65" t="n">
        <v>144.9</v>
      </c>
      <c r="E23" s="65" t="n">
        <v>12.4</v>
      </c>
    </row>
    <row r="25" customFormat="false" ht="15" hidden="false" customHeight="false" outlineLevel="0" collapsed="false">
      <c r="A25" s="59" t="s">
        <v>381</v>
      </c>
    </row>
    <row r="26" customFormat="false" ht="26.85" hidden="false" customHeight="false" outlineLevel="0" collapsed="false">
      <c r="A26" s="6" t="s">
        <v>161</v>
      </c>
      <c r="B26" s="6" t="s">
        <v>162</v>
      </c>
      <c r="C26" s="6" t="s">
        <v>163</v>
      </c>
      <c r="D26" s="6" t="s">
        <v>382</v>
      </c>
      <c r="E26" s="6" t="s">
        <v>383</v>
      </c>
      <c r="F26" s="6" t="s">
        <v>384</v>
      </c>
    </row>
    <row r="27" customFormat="false" ht="15" hidden="false" customHeight="false" outlineLevel="0" collapsed="false">
      <c r="A27" s="66" t="s">
        <v>174</v>
      </c>
      <c r="B27" s="67" t="n">
        <v>216102</v>
      </c>
      <c r="C27" s="67" t="n">
        <v>11251</v>
      </c>
      <c r="D27" s="68" t="n">
        <v>0</v>
      </c>
      <c r="E27" s="68" t="n">
        <v>0.952</v>
      </c>
      <c r="F27" s="69" t="n">
        <v>0.3</v>
      </c>
    </row>
    <row r="28" customFormat="false" ht="15" hidden="false" customHeight="false" outlineLevel="0" collapsed="false">
      <c r="A28" s="66" t="s">
        <v>43</v>
      </c>
      <c r="B28" s="67" t="n">
        <v>114890</v>
      </c>
      <c r="C28" s="67" t="n">
        <v>19506</v>
      </c>
      <c r="D28" s="68" t="n">
        <v>0</v>
      </c>
      <c r="E28" s="68" t="n">
        <v>0</v>
      </c>
      <c r="F28" s="69" t="n">
        <v>0</v>
      </c>
    </row>
    <row r="29" customFormat="false" ht="15" hidden="false" customHeight="false" outlineLevel="0" collapsed="false">
      <c r="A29" s="66" t="s">
        <v>175</v>
      </c>
      <c r="B29" s="67" t="n">
        <v>65993</v>
      </c>
      <c r="C29" s="67" t="n">
        <v>0</v>
      </c>
      <c r="D29" s="68" t="n">
        <v>0.344</v>
      </c>
      <c r="E29" s="68" t="n">
        <v>0.916</v>
      </c>
      <c r="F29" s="69" t="n">
        <v>1.1</v>
      </c>
    </row>
    <row r="30" customFormat="false" ht="15" hidden="false" customHeight="false" outlineLevel="0" collapsed="false">
      <c r="A30" s="66" t="s">
        <v>49</v>
      </c>
      <c r="B30" s="67" t="n">
        <v>55934</v>
      </c>
      <c r="C30" s="67" t="n">
        <v>0</v>
      </c>
      <c r="D30" s="68" t="n">
        <v>0</v>
      </c>
      <c r="E30" s="68" t="n">
        <v>0</v>
      </c>
      <c r="F30" s="69" t="n">
        <v>0</v>
      </c>
    </row>
    <row r="31" customFormat="false" ht="15" hidden="false" customHeight="false" outlineLevel="0" collapsed="false">
      <c r="A31" s="66" t="s">
        <v>45</v>
      </c>
      <c r="B31" s="67" t="n">
        <v>9202</v>
      </c>
      <c r="C31" s="67" t="n">
        <v>2060</v>
      </c>
      <c r="D31" s="68" t="n">
        <v>0</v>
      </c>
      <c r="E31" s="68" t="n">
        <v>0</v>
      </c>
      <c r="F31" s="69" t="n">
        <v>0</v>
      </c>
    </row>
    <row r="32" customFormat="false" ht="15" hidden="false" customHeight="false" outlineLevel="0" collapsed="false">
      <c r="A32" s="66" t="s">
        <v>178</v>
      </c>
      <c r="B32" s="67" t="n">
        <v>717</v>
      </c>
      <c r="C32" s="67" t="n">
        <v>0</v>
      </c>
      <c r="D32" s="68" t="n">
        <v>0</v>
      </c>
      <c r="E32" s="68" t="n">
        <v>0.869</v>
      </c>
      <c r="F32" s="69" t="n">
        <v>2.6</v>
      </c>
    </row>
    <row r="34" customFormat="false" ht="15" hidden="false" customHeight="false" outlineLevel="0" collapsed="false">
      <c r="A34" s="70" t="s">
        <v>385</v>
      </c>
      <c r="B34" s="70"/>
      <c r="C34" s="70"/>
      <c r="D34" s="70"/>
      <c r="E34" s="70"/>
      <c r="F34" s="70"/>
    </row>
    <row r="35" customFormat="false" ht="15" hidden="false" customHeight="false" outlineLevel="0" collapsed="false">
      <c r="A35" s="6" t="s">
        <v>275</v>
      </c>
      <c r="B35" s="6" t="s">
        <v>386</v>
      </c>
      <c r="C35" s="6" t="s">
        <v>276</v>
      </c>
      <c r="D35" s="6" t="s">
        <v>132</v>
      </c>
      <c r="E35" s="6" t="s">
        <v>387</v>
      </c>
      <c r="F35" s="6" t="s">
        <v>75</v>
      </c>
    </row>
    <row r="36" customFormat="false" ht="15" hidden="false" customHeight="false" outlineLevel="0" collapsed="false">
      <c r="A36" s="77" t="s">
        <v>413</v>
      </c>
      <c r="B36" s="77" t="s">
        <v>231</v>
      </c>
      <c r="C36" s="77" t="s">
        <v>341</v>
      </c>
      <c r="D36" s="78" t="n">
        <v>0</v>
      </c>
      <c r="E36" s="79" t="n">
        <v>0</v>
      </c>
      <c r="F36" s="77" t="s">
        <v>531</v>
      </c>
    </row>
    <row r="37" customFormat="false" ht="15" hidden="false" customHeight="false" outlineLevel="0" collapsed="false">
      <c r="A37" s="60" t="s">
        <v>532</v>
      </c>
      <c r="B37" s="60" t="s">
        <v>231</v>
      </c>
      <c r="C37" s="60" t="s">
        <v>344</v>
      </c>
      <c r="D37" s="61" t="n">
        <v>11</v>
      </c>
      <c r="E37" s="62" t="n">
        <v>0.9</v>
      </c>
      <c r="F37" s="60" t="s">
        <v>391</v>
      </c>
    </row>
    <row r="38" customFormat="false" ht="15" hidden="false" customHeight="false" outlineLevel="0" collapsed="false">
      <c r="A38" s="60" t="s">
        <v>533</v>
      </c>
      <c r="B38" s="60" t="s">
        <v>231</v>
      </c>
      <c r="C38" s="60" t="s">
        <v>344</v>
      </c>
      <c r="D38" s="61" t="n">
        <v>29.1</v>
      </c>
      <c r="E38" s="62" t="n">
        <v>2.5</v>
      </c>
      <c r="F38" s="60" t="s">
        <v>391</v>
      </c>
    </row>
    <row r="39" customFormat="false" ht="15" hidden="false" customHeight="false" outlineLevel="0" collapsed="false">
      <c r="A39" s="60" t="s">
        <v>534</v>
      </c>
      <c r="B39" s="60" t="s">
        <v>231</v>
      </c>
      <c r="C39" s="60" t="s">
        <v>344</v>
      </c>
      <c r="D39" s="61" t="n">
        <v>32.3</v>
      </c>
      <c r="E39" s="62" t="n">
        <v>2.8</v>
      </c>
      <c r="F39" s="60" t="s">
        <v>391</v>
      </c>
    </row>
    <row r="40" customFormat="false" ht="15" hidden="false" customHeight="false" outlineLevel="0" collapsed="false">
      <c r="A40" s="60" t="s">
        <v>535</v>
      </c>
      <c r="B40" s="60" t="s">
        <v>231</v>
      </c>
      <c r="C40" s="60" t="s">
        <v>344</v>
      </c>
      <c r="D40" s="61" t="n">
        <v>46.3</v>
      </c>
      <c r="E40" s="62" t="n">
        <v>4</v>
      </c>
      <c r="F40" s="60" t="s">
        <v>391</v>
      </c>
    </row>
    <row r="41" customFormat="false" ht="15" hidden="false" customHeight="false" outlineLevel="0" collapsed="false">
      <c r="A41" s="60" t="s">
        <v>536</v>
      </c>
      <c r="B41" s="60" t="s">
        <v>231</v>
      </c>
      <c r="C41" s="60" t="s">
        <v>344</v>
      </c>
      <c r="D41" s="61" t="n">
        <v>46.5</v>
      </c>
      <c r="E41" s="62" t="n">
        <v>4</v>
      </c>
      <c r="F41" s="60" t="s">
        <v>391</v>
      </c>
    </row>
    <row r="42" customFormat="false" ht="15" hidden="false" customHeight="false" outlineLevel="0" collapsed="false">
      <c r="A42" s="60" t="s">
        <v>537</v>
      </c>
      <c r="B42" s="60" t="s">
        <v>230</v>
      </c>
      <c r="C42" s="60" t="s">
        <v>339</v>
      </c>
      <c r="D42" s="61" t="n">
        <v>49.7</v>
      </c>
      <c r="E42" s="62" t="n">
        <v>4.2</v>
      </c>
      <c r="F42" s="60" t="s">
        <v>391</v>
      </c>
    </row>
    <row r="43" customFormat="false" ht="15" hidden="false" customHeight="false" outlineLevel="0" collapsed="false">
      <c r="A43" s="60" t="s">
        <v>538</v>
      </c>
      <c r="B43" s="60" t="s">
        <v>231</v>
      </c>
      <c r="C43" s="60" t="s">
        <v>344</v>
      </c>
      <c r="D43" s="61" t="n">
        <v>50.4</v>
      </c>
      <c r="E43" s="62" t="n">
        <v>4.3</v>
      </c>
      <c r="F43" s="60" t="s">
        <v>391</v>
      </c>
    </row>
    <row r="44" customFormat="false" ht="15" hidden="false" customHeight="false" outlineLevel="0" collapsed="false">
      <c r="A44" s="60" t="s">
        <v>539</v>
      </c>
      <c r="B44" s="60" t="s">
        <v>231</v>
      </c>
      <c r="C44" s="60" t="s">
        <v>341</v>
      </c>
      <c r="D44" s="61" t="n">
        <v>53.5</v>
      </c>
      <c r="E44" s="62" t="n">
        <v>4.6</v>
      </c>
      <c r="F44" s="60" t="s">
        <v>391</v>
      </c>
    </row>
    <row r="45" customFormat="false" ht="15" hidden="false" customHeight="false" outlineLevel="0" collapsed="false">
      <c r="A45" s="60" t="s">
        <v>540</v>
      </c>
      <c r="B45" s="60" t="s">
        <v>231</v>
      </c>
      <c r="C45" s="60" t="s">
        <v>344</v>
      </c>
      <c r="D45" s="61" t="n">
        <v>62.6</v>
      </c>
      <c r="E45" s="62" t="n">
        <v>5.3</v>
      </c>
      <c r="F45" s="60" t="s">
        <v>391</v>
      </c>
    </row>
    <row r="46" customFormat="false" ht="15" hidden="false" customHeight="false" outlineLevel="0" collapsed="false">
      <c r="A46" s="60" t="s">
        <v>541</v>
      </c>
      <c r="B46" s="60" t="s">
        <v>231</v>
      </c>
      <c r="C46" s="60" t="s">
        <v>344</v>
      </c>
      <c r="D46" s="61" t="n">
        <v>66.9</v>
      </c>
      <c r="E46" s="62" t="n">
        <v>5.7</v>
      </c>
      <c r="F46" s="60" t="s">
        <v>391</v>
      </c>
    </row>
    <row r="47" customFormat="false" ht="15" hidden="false" customHeight="false" outlineLevel="0" collapsed="false">
      <c r="A47" s="60" t="s">
        <v>542</v>
      </c>
      <c r="B47" s="60" t="s">
        <v>231</v>
      </c>
      <c r="C47" s="60" t="s">
        <v>344</v>
      </c>
      <c r="D47" s="61" t="n">
        <v>69.9</v>
      </c>
      <c r="E47" s="62" t="n">
        <v>6</v>
      </c>
      <c r="F47" s="60" t="s">
        <v>391</v>
      </c>
    </row>
    <row r="48" customFormat="false" ht="15" hidden="false" customHeight="false" outlineLevel="0" collapsed="false">
      <c r="A48" s="60" t="s">
        <v>543</v>
      </c>
      <c r="B48" s="60" t="s">
        <v>231</v>
      </c>
      <c r="C48" s="60" t="s">
        <v>345</v>
      </c>
      <c r="D48" s="61" t="n">
        <v>75.4</v>
      </c>
      <c r="E48" s="62" t="n">
        <v>6.4</v>
      </c>
      <c r="F48" s="60" t="s">
        <v>391</v>
      </c>
    </row>
    <row r="49" customFormat="false" ht="15" hidden="false" customHeight="false" outlineLevel="0" collapsed="false">
      <c r="A49" s="60" t="s">
        <v>544</v>
      </c>
      <c r="B49" s="60" t="s">
        <v>231</v>
      </c>
      <c r="C49" s="60" t="s">
        <v>344</v>
      </c>
      <c r="D49" s="61" t="n">
        <v>77.3</v>
      </c>
      <c r="E49" s="62" t="n">
        <v>6.6</v>
      </c>
      <c r="F49" s="60" t="s">
        <v>391</v>
      </c>
    </row>
    <row r="50" customFormat="false" ht="15" hidden="false" customHeight="false" outlineLevel="0" collapsed="false">
      <c r="A50" s="60" t="s">
        <v>545</v>
      </c>
      <c r="B50" s="60" t="s">
        <v>228</v>
      </c>
      <c r="C50" s="60" t="s">
        <v>356</v>
      </c>
      <c r="D50" s="61" t="n">
        <v>114</v>
      </c>
      <c r="E50" s="62" t="n">
        <v>9.7</v>
      </c>
      <c r="F50" s="60" t="s">
        <v>391</v>
      </c>
    </row>
    <row r="51" customFormat="false" ht="15" hidden="false" customHeight="false" outlineLevel="0" collapsed="false">
      <c r="A51" s="60" t="s">
        <v>546</v>
      </c>
      <c r="B51" s="60" t="s">
        <v>228</v>
      </c>
      <c r="C51" s="60" t="s">
        <v>356</v>
      </c>
      <c r="D51" s="61" t="n">
        <v>122.8</v>
      </c>
      <c r="E51" s="62" t="n">
        <v>10.5</v>
      </c>
      <c r="F51" s="60" t="s">
        <v>391</v>
      </c>
    </row>
    <row r="52" customFormat="false" ht="15" hidden="false" customHeight="false" outlineLevel="0" collapsed="false">
      <c r="A52" s="60" t="s">
        <v>547</v>
      </c>
      <c r="B52" s="60" t="s">
        <v>228</v>
      </c>
      <c r="C52" s="60" t="s">
        <v>356</v>
      </c>
      <c r="D52" s="61" t="n">
        <v>122.8</v>
      </c>
      <c r="E52" s="62" t="n">
        <v>10.5</v>
      </c>
      <c r="F52" s="60" t="s">
        <v>391</v>
      </c>
    </row>
    <row r="53" customFormat="false" ht="15" hidden="false" customHeight="false" outlineLevel="0" collapsed="false">
      <c r="A53" s="60" t="s">
        <v>548</v>
      </c>
      <c r="B53" s="60" t="s">
        <v>228</v>
      </c>
      <c r="C53" s="60" t="s">
        <v>340</v>
      </c>
      <c r="D53" s="61" t="n">
        <v>128.3</v>
      </c>
      <c r="E53" s="62" t="n">
        <v>10.9</v>
      </c>
      <c r="F53" s="60" t="s">
        <v>391</v>
      </c>
    </row>
    <row r="54" customFormat="false" ht="15" hidden="false" customHeight="false" outlineLevel="0" collapsed="false">
      <c r="A54" s="60" t="s">
        <v>549</v>
      </c>
      <c r="B54" s="60" t="s">
        <v>228</v>
      </c>
      <c r="C54" s="60" t="s">
        <v>356</v>
      </c>
      <c r="D54" s="61" t="n">
        <v>128.8</v>
      </c>
      <c r="E54" s="62" t="n">
        <v>11</v>
      </c>
      <c r="F54" s="60" t="s">
        <v>391</v>
      </c>
    </row>
    <row r="55" customFormat="false" ht="15" hidden="false" customHeight="false" outlineLevel="0" collapsed="false">
      <c r="A55" s="60" t="s">
        <v>550</v>
      </c>
      <c r="B55" s="60" t="s">
        <v>227</v>
      </c>
      <c r="C55" s="60" t="s">
        <v>353</v>
      </c>
      <c r="D55" s="61" t="n">
        <v>135.8</v>
      </c>
      <c r="E55" s="62" t="n">
        <v>11.6</v>
      </c>
      <c r="F55" s="60" t="s">
        <v>391</v>
      </c>
    </row>
    <row r="56" customFormat="false" ht="15" hidden="false" customHeight="false" outlineLevel="0" collapsed="false">
      <c r="A56" s="60" t="s">
        <v>551</v>
      </c>
      <c r="B56" s="60" t="s">
        <v>228</v>
      </c>
      <c r="C56" s="60" t="s">
        <v>356</v>
      </c>
      <c r="D56" s="61" t="n">
        <v>140.4</v>
      </c>
      <c r="E56" s="62" t="n">
        <v>12</v>
      </c>
      <c r="F56" s="60" t="s">
        <v>391</v>
      </c>
    </row>
    <row r="57" customFormat="false" ht="15" hidden="false" customHeight="false" outlineLevel="0" collapsed="false">
      <c r="A57" s="60" t="s">
        <v>552</v>
      </c>
      <c r="B57" s="60" t="s">
        <v>228</v>
      </c>
      <c r="C57" s="60" t="s">
        <v>356</v>
      </c>
      <c r="D57" s="61" t="n">
        <v>141.2</v>
      </c>
      <c r="E57" s="62" t="n">
        <v>12</v>
      </c>
      <c r="F57" s="60" t="s">
        <v>391</v>
      </c>
    </row>
    <row r="58" customFormat="false" ht="15" hidden="false" customHeight="false" outlineLevel="0" collapsed="false">
      <c r="A58" s="60" t="s">
        <v>553</v>
      </c>
      <c r="B58" s="60" t="s">
        <v>228</v>
      </c>
      <c r="C58" s="60" t="s">
        <v>356</v>
      </c>
      <c r="D58" s="61" t="n">
        <v>141.8</v>
      </c>
      <c r="E58" s="62" t="n">
        <v>12.1</v>
      </c>
      <c r="F58" s="60" t="s">
        <v>391</v>
      </c>
    </row>
    <row r="59" customFormat="false" ht="15" hidden="false" customHeight="false" outlineLevel="0" collapsed="false">
      <c r="A59" s="60" t="s">
        <v>554</v>
      </c>
      <c r="B59" s="60" t="s">
        <v>228</v>
      </c>
      <c r="C59" s="60" t="s">
        <v>356</v>
      </c>
      <c r="D59" s="61" t="n">
        <v>145.6</v>
      </c>
      <c r="E59" s="62" t="n">
        <v>12.4</v>
      </c>
      <c r="F59" s="60" t="s">
        <v>391</v>
      </c>
    </row>
    <row r="60" customFormat="false" ht="15" hidden="false" customHeight="false" outlineLevel="0" collapsed="false">
      <c r="A60" s="60" t="s">
        <v>555</v>
      </c>
      <c r="B60" s="60" t="s">
        <v>228</v>
      </c>
      <c r="C60" s="60" t="s">
        <v>356</v>
      </c>
      <c r="D60" s="61" t="n">
        <v>146.8</v>
      </c>
      <c r="E60" s="62" t="n">
        <v>12.5</v>
      </c>
      <c r="F60" s="60" t="s">
        <v>391</v>
      </c>
    </row>
    <row r="61" customFormat="false" ht="15" hidden="false" customHeight="false" outlineLevel="0" collapsed="false">
      <c r="A61" s="60" t="s">
        <v>556</v>
      </c>
      <c r="B61" s="60" t="s">
        <v>228</v>
      </c>
      <c r="C61" s="60" t="s">
        <v>356</v>
      </c>
      <c r="D61" s="61" t="n">
        <v>150.8</v>
      </c>
      <c r="E61" s="62" t="n">
        <v>12.9</v>
      </c>
      <c r="F61" s="60" t="s">
        <v>391</v>
      </c>
    </row>
    <row r="62" customFormat="false" ht="15" hidden="false" customHeight="false" outlineLevel="0" collapsed="false">
      <c r="A62" s="60" t="s">
        <v>557</v>
      </c>
      <c r="B62" s="60" t="s">
        <v>226</v>
      </c>
      <c r="C62" s="60" t="s">
        <v>340</v>
      </c>
      <c r="D62" s="61" t="n">
        <v>150.8</v>
      </c>
      <c r="E62" s="62" t="n">
        <v>12.9</v>
      </c>
      <c r="F62" s="60" t="s">
        <v>391</v>
      </c>
    </row>
    <row r="63" customFormat="false" ht="15" hidden="false" customHeight="false" outlineLevel="0" collapsed="false">
      <c r="A63" s="60" t="s">
        <v>558</v>
      </c>
      <c r="B63" s="60" t="s">
        <v>228</v>
      </c>
      <c r="C63" s="60" t="s">
        <v>356</v>
      </c>
      <c r="D63" s="61" t="n">
        <v>153</v>
      </c>
      <c r="E63" s="62" t="n">
        <v>13.1</v>
      </c>
      <c r="F63" s="60" t="s">
        <v>391</v>
      </c>
    </row>
    <row r="64" customFormat="false" ht="15" hidden="false" customHeight="false" outlineLevel="0" collapsed="false">
      <c r="A64" s="60" t="s">
        <v>559</v>
      </c>
      <c r="B64" s="60" t="s">
        <v>228</v>
      </c>
      <c r="C64" s="60" t="s">
        <v>356</v>
      </c>
      <c r="D64" s="61" t="n">
        <v>153.2</v>
      </c>
      <c r="E64" s="62" t="n">
        <v>13.1</v>
      </c>
      <c r="F64" s="60" t="s">
        <v>391</v>
      </c>
    </row>
    <row r="65" customFormat="false" ht="15" hidden="false" customHeight="false" outlineLevel="0" collapsed="false">
      <c r="A65" s="60" t="s">
        <v>560</v>
      </c>
      <c r="B65" s="60" t="s">
        <v>229</v>
      </c>
      <c r="C65" s="60" t="s">
        <v>339</v>
      </c>
      <c r="D65" s="61" t="n">
        <v>153.8</v>
      </c>
      <c r="E65" s="62" t="n">
        <v>13.1</v>
      </c>
      <c r="F65" s="60" t="s">
        <v>391</v>
      </c>
    </row>
    <row r="66" customFormat="false" ht="15" hidden="false" customHeight="false" outlineLevel="0" collapsed="false">
      <c r="A66" s="60" t="s">
        <v>561</v>
      </c>
      <c r="B66" s="60" t="s">
        <v>228</v>
      </c>
      <c r="C66" s="60" t="s">
        <v>356</v>
      </c>
      <c r="D66" s="61" t="n">
        <v>163</v>
      </c>
      <c r="E66" s="62" t="n">
        <v>13.9</v>
      </c>
      <c r="F66" s="60" t="s">
        <v>391</v>
      </c>
    </row>
    <row r="67" customFormat="false" ht="15" hidden="false" customHeight="false" outlineLevel="0" collapsed="false">
      <c r="A67" s="60" t="s">
        <v>562</v>
      </c>
      <c r="B67" s="60" t="s">
        <v>230</v>
      </c>
      <c r="C67" s="60" t="s">
        <v>339</v>
      </c>
      <c r="D67" s="61" t="n">
        <v>169</v>
      </c>
      <c r="E67" s="62" t="n">
        <v>14.4</v>
      </c>
      <c r="F67" s="60" t="s">
        <v>391</v>
      </c>
    </row>
    <row r="68" customFormat="false" ht="15" hidden="false" customHeight="false" outlineLevel="0" collapsed="false">
      <c r="A68" s="60" t="s">
        <v>563</v>
      </c>
      <c r="B68" s="60" t="s">
        <v>228</v>
      </c>
      <c r="C68" s="60" t="s">
        <v>356</v>
      </c>
      <c r="D68" s="61" t="n">
        <v>174.2</v>
      </c>
      <c r="E68" s="62" t="n">
        <v>14.9</v>
      </c>
      <c r="F68" s="60" t="s">
        <v>391</v>
      </c>
    </row>
    <row r="69" customFormat="false" ht="15" hidden="false" customHeight="false" outlineLevel="0" collapsed="false">
      <c r="A69" s="60" t="s">
        <v>564</v>
      </c>
      <c r="B69" s="60" t="s">
        <v>228</v>
      </c>
      <c r="C69" s="60" t="s">
        <v>356</v>
      </c>
      <c r="D69" s="61" t="n">
        <v>175</v>
      </c>
      <c r="E69" s="62" t="n">
        <v>14.9</v>
      </c>
      <c r="F69" s="60" t="s">
        <v>391</v>
      </c>
    </row>
    <row r="70" customFormat="false" ht="15" hidden="false" customHeight="false" outlineLevel="0" collapsed="false">
      <c r="A70" s="60" t="s">
        <v>565</v>
      </c>
      <c r="B70" s="60" t="s">
        <v>231</v>
      </c>
      <c r="C70" s="60" t="s">
        <v>346</v>
      </c>
      <c r="D70" s="61" t="n">
        <v>177</v>
      </c>
      <c r="E70" s="62" t="n">
        <v>15.1</v>
      </c>
      <c r="F70" s="60" t="s">
        <v>391</v>
      </c>
    </row>
    <row r="71" customFormat="false" ht="15" hidden="false" customHeight="false" outlineLevel="0" collapsed="false">
      <c r="A71" s="60" t="s">
        <v>566</v>
      </c>
      <c r="B71" s="60" t="s">
        <v>231</v>
      </c>
      <c r="C71" s="60" t="s">
        <v>341</v>
      </c>
      <c r="D71" s="61" t="n">
        <v>180</v>
      </c>
      <c r="E71" s="62" t="n">
        <v>15.4</v>
      </c>
      <c r="F71" s="60" t="s">
        <v>391</v>
      </c>
    </row>
    <row r="72" customFormat="false" ht="15" hidden="false" customHeight="false" outlineLevel="0" collapsed="false">
      <c r="A72" s="60" t="s">
        <v>567</v>
      </c>
      <c r="B72" s="60" t="s">
        <v>226</v>
      </c>
      <c r="C72" s="60" t="s">
        <v>350</v>
      </c>
      <c r="D72" s="61" t="n">
        <v>181</v>
      </c>
      <c r="E72" s="62" t="n">
        <v>15.4</v>
      </c>
      <c r="F72" s="60" t="s">
        <v>391</v>
      </c>
    </row>
    <row r="73" customFormat="false" ht="15" hidden="false" customHeight="false" outlineLevel="0" collapsed="false">
      <c r="A73" s="60" t="s">
        <v>568</v>
      </c>
      <c r="B73" s="60" t="s">
        <v>229</v>
      </c>
      <c r="C73" s="60" t="s">
        <v>344</v>
      </c>
      <c r="D73" s="61" t="n">
        <v>181.2</v>
      </c>
      <c r="E73" s="62" t="n">
        <v>15.5</v>
      </c>
      <c r="F73" s="60" t="s">
        <v>391</v>
      </c>
    </row>
    <row r="74" customFormat="false" ht="15" hidden="false" customHeight="false" outlineLevel="0" collapsed="false">
      <c r="A74" s="60" t="s">
        <v>569</v>
      </c>
      <c r="B74" s="60" t="s">
        <v>226</v>
      </c>
      <c r="C74" s="60" t="s">
        <v>340</v>
      </c>
      <c r="D74" s="61" t="n">
        <v>183.1</v>
      </c>
      <c r="E74" s="62" t="n">
        <v>15.6</v>
      </c>
      <c r="F74" s="60" t="s">
        <v>391</v>
      </c>
    </row>
    <row r="75" customFormat="false" ht="15" hidden="false" customHeight="false" outlineLevel="0" collapsed="false">
      <c r="A75" s="60" t="s">
        <v>570</v>
      </c>
      <c r="B75" s="60" t="s">
        <v>228</v>
      </c>
      <c r="C75" s="60" t="s">
        <v>356</v>
      </c>
      <c r="D75" s="61" t="n">
        <v>183.8</v>
      </c>
      <c r="E75" s="62" t="n">
        <v>15.7</v>
      </c>
      <c r="F75" s="60" t="s">
        <v>391</v>
      </c>
    </row>
    <row r="76" customFormat="false" ht="15" hidden="false" customHeight="false" outlineLevel="0" collapsed="false">
      <c r="A76" s="60" t="s">
        <v>571</v>
      </c>
      <c r="B76" s="60" t="s">
        <v>226</v>
      </c>
      <c r="C76" s="60" t="s">
        <v>340</v>
      </c>
      <c r="D76" s="61" t="n">
        <v>186</v>
      </c>
      <c r="E76" s="62" t="n">
        <v>15.9</v>
      </c>
      <c r="F76" s="60" t="s">
        <v>391</v>
      </c>
    </row>
    <row r="77" customFormat="false" ht="15" hidden="false" customHeight="false" outlineLevel="0" collapsed="false">
      <c r="A77" s="60" t="s">
        <v>572</v>
      </c>
      <c r="B77" s="60" t="s">
        <v>226</v>
      </c>
      <c r="C77" s="60" t="s">
        <v>340</v>
      </c>
      <c r="D77" s="61" t="n">
        <v>186.3</v>
      </c>
      <c r="E77" s="62" t="n">
        <v>15.9</v>
      </c>
      <c r="F77" s="60" t="s">
        <v>391</v>
      </c>
    </row>
    <row r="78" customFormat="false" ht="15" hidden="false" customHeight="false" outlineLevel="0" collapsed="false">
      <c r="A78" s="60" t="s">
        <v>573</v>
      </c>
      <c r="B78" s="60" t="s">
        <v>231</v>
      </c>
      <c r="C78" s="60" t="s">
        <v>346</v>
      </c>
      <c r="D78" s="61" t="n">
        <v>188.1</v>
      </c>
      <c r="E78" s="62" t="n">
        <v>16.1</v>
      </c>
      <c r="F78" s="60" t="s">
        <v>391</v>
      </c>
    </row>
    <row r="79" customFormat="false" ht="15" hidden="false" customHeight="false" outlineLevel="0" collapsed="false">
      <c r="A79" s="60" t="s">
        <v>574</v>
      </c>
      <c r="B79" s="60" t="s">
        <v>231</v>
      </c>
      <c r="C79" s="60" t="s">
        <v>344</v>
      </c>
      <c r="D79" s="61" t="n">
        <v>189.8</v>
      </c>
      <c r="E79" s="62" t="n">
        <v>16.2</v>
      </c>
      <c r="F79" s="60" t="s">
        <v>391</v>
      </c>
    </row>
    <row r="80" customFormat="false" ht="15" hidden="false" customHeight="false" outlineLevel="0" collapsed="false">
      <c r="A80" s="60" t="s">
        <v>575</v>
      </c>
      <c r="B80" s="60" t="s">
        <v>228</v>
      </c>
      <c r="C80" s="60" t="s">
        <v>356</v>
      </c>
      <c r="D80" s="61" t="n">
        <v>190.2</v>
      </c>
      <c r="E80" s="62" t="n">
        <v>16.2</v>
      </c>
      <c r="F80" s="60" t="s">
        <v>391</v>
      </c>
    </row>
    <row r="81" customFormat="false" ht="15" hidden="false" customHeight="false" outlineLevel="0" collapsed="false">
      <c r="A81" s="60" t="s">
        <v>576</v>
      </c>
      <c r="B81" s="60" t="s">
        <v>226</v>
      </c>
      <c r="C81" s="60" t="s">
        <v>340</v>
      </c>
      <c r="D81" s="61" t="n">
        <v>190.7</v>
      </c>
      <c r="E81" s="62" t="n">
        <v>16.3</v>
      </c>
      <c r="F81" s="60" t="s">
        <v>391</v>
      </c>
    </row>
    <row r="82" customFormat="false" ht="15" hidden="false" customHeight="false" outlineLevel="0" collapsed="false">
      <c r="A82" s="60" t="s">
        <v>577</v>
      </c>
      <c r="B82" s="60" t="s">
        <v>231</v>
      </c>
      <c r="C82" s="60" t="s">
        <v>345</v>
      </c>
      <c r="D82" s="61" t="n">
        <v>191.8</v>
      </c>
      <c r="E82" s="62" t="n">
        <v>16.4</v>
      </c>
      <c r="F82" s="60" t="s">
        <v>391</v>
      </c>
    </row>
    <row r="83" customFormat="false" ht="15" hidden="false" customHeight="false" outlineLevel="0" collapsed="false">
      <c r="A83" s="60" t="s">
        <v>578</v>
      </c>
      <c r="B83" s="60" t="s">
        <v>228</v>
      </c>
      <c r="C83" s="60" t="s">
        <v>356</v>
      </c>
      <c r="D83" s="61" t="n">
        <v>193</v>
      </c>
      <c r="E83" s="62" t="n">
        <v>16.5</v>
      </c>
      <c r="F83" s="60" t="s">
        <v>391</v>
      </c>
    </row>
    <row r="84" customFormat="false" ht="15" hidden="false" customHeight="false" outlineLevel="0" collapsed="false">
      <c r="A84" s="60" t="s">
        <v>579</v>
      </c>
      <c r="B84" s="60" t="s">
        <v>231</v>
      </c>
      <c r="C84" s="60" t="s">
        <v>344</v>
      </c>
      <c r="D84" s="61" t="n">
        <v>200.3</v>
      </c>
      <c r="E84" s="62" t="n">
        <v>17.1</v>
      </c>
      <c r="F84" s="60" t="s">
        <v>391</v>
      </c>
    </row>
    <row r="85" customFormat="false" ht="15" hidden="false" customHeight="false" outlineLevel="0" collapsed="false">
      <c r="A85" s="60" t="s">
        <v>580</v>
      </c>
      <c r="B85" s="60" t="s">
        <v>226</v>
      </c>
      <c r="C85" s="60" t="s">
        <v>340</v>
      </c>
      <c r="D85" s="61" t="n">
        <v>201.1</v>
      </c>
      <c r="E85" s="62" t="n">
        <v>17.2</v>
      </c>
      <c r="F85" s="60" t="s">
        <v>391</v>
      </c>
    </row>
    <row r="86" customFormat="false" ht="15" hidden="false" customHeight="false" outlineLevel="0" collapsed="false">
      <c r="A86" s="60" t="s">
        <v>581</v>
      </c>
      <c r="B86" s="60" t="s">
        <v>226</v>
      </c>
      <c r="C86" s="60" t="s">
        <v>350</v>
      </c>
      <c r="D86" s="61" t="n">
        <v>202.3</v>
      </c>
      <c r="E86" s="62" t="n">
        <v>17.3</v>
      </c>
      <c r="F86" s="60" t="s">
        <v>391</v>
      </c>
    </row>
    <row r="87" customFormat="false" ht="15" hidden="false" customHeight="false" outlineLevel="0" collapsed="false">
      <c r="A87" s="60" t="s">
        <v>582</v>
      </c>
      <c r="B87" s="60" t="s">
        <v>228</v>
      </c>
      <c r="C87" s="60" t="s">
        <v>356</v>
      </c>
      <c r="D87" s="61" t="n">
        <v>206.8</v>
      </c>
      <c r="E87" s="62" t="n">
        <v>17.6</v>
      </c>
      <c r="F87" s="60" t="s">
        <v>391</v>
      </c>
    </row>
    <row r="88" customFormat="false" ht="15" hidden="false" customHeight="false" outlineLevel="0" collapsed="false">
      <c r="A88" s="60" t="s">
        <v>583</v>
      </c>
      <c r="B88" s="60" t="s">
        <v>226</v>
      </c>
      <c r="C88" s="60" t="s">
        <v>340</v>
      </c>
      <c r="D88" s="61" t="n">
        <v>208.9</v>
      </c>
      <c r="E88" s="62" t="n">
        <v>17.8</v>
      </c>
      <c r="F88" s="60" t="s">
        <v>391</v>
      </c>
    </row>
    <row r="89" customFormat="false" ht="15" hidden="false" customHeight="false" outlineLevel="0" collapsed="false">
      <c r="A89" s="60" t="s">
        <v>584</v>
      </c>
      <c r="B89" s="60" t="s">
        <v>230</v>
      </c>
      <c r="C89" s="60" t="s">
        <v>339</v>
      </c>
      <c r="D89" s="61" t="n">
        <v>210.1</v>
      </c>
      <c r="E89" s="62" t="n">
        <v>17.9</v>
      </c>
      <c r="F89" s="60" t="s">
        <v>391</v>
      </c>
    </row>
    <row r="90" customFormat="false" ht="15" hidden="false" customHeight="false" outlineLevel="0" collapsed="false">
      <c r="A90" s="60" t="s">
        <v>585</v>
      </c>
      <c r="B90" s="60" t="s">
        <v>231</v>
      </c>
      <c r="C90" s="60" t="s">
        <v>345</v>
      </c>
      <c r="D90" s="61" t="n">
        <v>211</v>
      </c>
      <c r="E90" s="62" t="n">
        <v>18</v>
      </c>
      <c r="F90" s="60" t="s">
        <v>391</v>
      </c>
    </row>
    <row r="91" customFormat="false" ht="15" hidden="false" customHeight="false" outlineLevel="0" collapsed="false">
      <c r="A91" s="60" t="s">
        <v>586</v>
      </c>
      <c r="B91" s="60" t="s">
        <v>229</v>
      </c>
      <c r="C91" s="60" t="s">
        <v>345</v>
      </c>
      <c r="D91" s="61" t="n">
        <v>213.5</v>
      </c>
      <c r="E91" s="62" t="n">
        <v>18.2</v>
      </c>
      <c r="F91" s="60" t="s">
        <v>391</v>
      </c>
    </row>
    <row r="92" customFormat="false" ht="15" hidden="false" customHeight="false" outlineLevel="0" collapsed="false">
      <c r="A92" s="60" t="s">
        <v>587</v>
      </c>
      <c r="B92" s="60" t="s">
        <v>231</v>
      </c>
      <c r="C92" s="60" t="s">
        <v>346</v>
      </c>
      <c r="D92" s="61" t="n">
        <v>231.4</v>
      </c>
      <c r="E92" s="62" t="n">
        <v>19.7</v>
      </c>
      <c r="F92" s="60" t="s">
        <v>391</v>
      </c>
    </row>
    <row r="93" customFormat="false" ht="15" hidden="false" customHeight="false" outlineLevel="0" collapsed="false">
      <c r="A93" s="60" t="s">
        <v>588</v>
      </c>
      <c r="B93" s="60" t="s">
        <v>226</v>
      </c>
      <c r="C93" s="60" t="s">
        <v>350</v>
      </c>
      <c r="D93" s="61" t="n">
        <v>231.8</v>
      </c>
      <c r="E93" s="62" t="n">
        <v>19.8</v>
      </c>
      <c r="F93" s="60" t="s">
        <v>391</v>
      </c>
    </row>
    <row r="94" customFormat="false" ht="15" hidden="false" customHeight="false" outlineLevel="0" collapsed="false">
      <c r="A94" s="60" t="s">
        <v>589</v>
      </c>
      <c r="B94" s="60" t="s">
        <v>226</v>
      </c>
      <c r="C94" s="60" t="s">
        <v>350</v>
      </c>
      <c r="D94" s="61" t="n">
        <v>232.2</v>
      </c>
      <c r="E94" s="62" t="n">
        <v>19.8</v>
      </c>
      <c r="F94" s="60" t="s">
        <v>391</v>
      </c>
    </row>
    <row r="95" customFormat="false" ht="15" hidden="false" customHeight="false" outlineLevel="0" collapsed="false">
      <c r="A95" s="60" t="s">
        <v>590</v>
      </c>
      <c r="B95" s="60" t="s">
        <v>231</v>
      </c>
      <c r="C95" s="60" t="s">
        <v>344</v>
      </c>
      <c r="D95" s="61" t="n">
        <v>232.8</v>
      </c>
      <c r="E95" s="62" t="n">
        <v>19.9</v>
      </c>
      <c r="F95" s="60" t="s">
        <v>391</v>
      </c>
    </row>
    <row r="96" customFormat="false" ht="15" hidden="false" customHeight="false" outlineLevel="0" collapsed="false">
      <c r="A96" s="60" t="s">
        <v>591</v>
      </c>
      <c r="B96" s="60" t="s">
        <v>226</v>
      </c>
      <c r="C96" s="60" t="s">
        <v>350</v>
      </c>
      <c r="D96" s="61" t="n">
        <v>233.3</v>
      </c>
      <c r="E96" s="62" t="n">
        <v>19.9</v>
      </c>
      <c r="F96" s="60" t="s">
        <v>391</v>
      </c>
    </row>
    <row r="97" customFormat="false" ht="15" hidden="false" customHeight="false" outlineLevel="0" collapsed="false">
      <c r="A97" s="60" t="s">
        <v>592</v>
      </c>
      <c r="B97" s="60" t="s">
        <v>230</v>
      </c>
      <c r="C97" s="60" t="s">
        <v>339</v>
      </c>
      <c r="D97" s="61" t="n">
        <v>233.9</v>
      </c>
      <c r="E97" s="62" t="n">
        <v>20</v>
      </c>
      <c r="F97" s="60" t="s">
        <v>391</v>
      </c>
    </row>
    <row r="98" customFormat="false" ht="15" hidden="false" customHeight="false" outlineLevel="0" collapsed="false">
      <c r="A98" s="60" t="s">
        <v>593</v>
      </c>
      <c r="B98" s="60" t="s">
        <v>226</v>
      </c>
      <c r="C98" s="60" t="s">
        <v>340</v>
      </c>
      <c r="D98" s="61" t="n">
        <v>234.1</v>
      </c>
      <c r="E98" s="62" t="n">
        <v>20</v>
      </c>
      <c r="F98" s="60" t="s">
        <v>391</v>
      </c>
    </row>
    <row r="99" customFormat="false" ht="15" hidden="false" customHeight="false" outlineLevel="0" collapsed="false">
      <c r="A99" s="60" t="s">
        <v>594</v>
      </c>
      <c r="B99" s="60" t="s">
        <v>231</v>
      </c>
      <c r="C99" s="60" t="s">
        <v>343</v>
      </c>
      <c r="D99" s="61" t="n">
        <v>239</v>
      </c>
      <c r="E99" s="62" t="n">
        <v>20.4</v>
      </c>
      <c r="F99" s="60" t="s">
        <v>391</v>
      </c>
    </row>
    <row r="100" customFormat="false" ht="15" hidden="false" customHeight="false" outlineLevel="0" collapsed="false">
      <c r="A100" s="60" t="s">
        <v>595</v>
      </c>
      <c r="B100" s="60" t="s">
        <v>229</v>
      </c>
      <c r="C100" s="60" t="s">
        <v>344</v>
      </c>
      <c r="D100" s="61" t="n">
        <v>239.6</v>
      </c>
      <c r="E100" s="62" t="n">
        <v>20.4</v>
      </c>
      <c r="F100" s="60" t="s">
        <v>391</v>
      </c>
    </row>
    <row r="101" customFormat="false" ht="15" hidden="false" customHeight="false" outlineLevel="0" collapsed="false">
      <c r="A101" s="60" t="s">
        <v>596</v>
      </c>
      <c r="B101" s="60" t="s">
        <v>230</v>
      </c>
      <c r="C101" s="60" t="s">
        <v>344</v>
      </c>
      <c r="D101" s="61" t="n">
        <v>244.8</v>
      </c>
      <c r="E101" s="62" t="n">
        <v>20.9</v>
      </c>
      <c r="F101" s="60" t="s">
        <v>391</v>
      </c>
    </row>
    <row r="102" customFormat="false" ht="15" hidden="false" customHeight="false" outlineLevel="0" collapsed="false">
      <c r="A102" s="60" t="s">
        <v>597</v>
      </c>
      <c r="B102" s="60" t="s">
        <v>226</v>
      </c>
      <c r="C102" s="60" t="s">
        <v>340</v>
      </c>
      <c r="D102" s="61" t="n">
        <v>245</v>
      </c>
      <c r="E102" s="62" t="n">
        <v>20.9</v>
      </c>
      <c r="F102" s="60" t="s">
        <v>391</v>
      </c>
    </row>
    <row r="103" customFormat="false" ht="15" hidden="false" customHeight="false" outlineLevel="0" collapsed="false">
      <c r="A103" s="60" t="s">
        <v>598</v>
      </c>
      <c r="B103" s="60" t="s">
        <v>226</v>
      </c>
      <c r="C103" s="60" t="s">
        <v>340</v>
      </c>
      <c r="D103" s="61" t="n">
        <v>245.9</v>
      </c>
      <c r="E103" s="62" t="n">
        <v>21</v>
      </c>
      <c r="F103" s="60" t="s">
        <v>391</v>
      </c>
    </row>
    <row r="104" customFormat="false" ht="15" hidden="false" customHeight="false" outlineLevel="0" collapsed="false">
      <c r="A104" s="60" t="s">
        <v>599</v>
      </c>
      <c r="B104" s="60" t="s">
        <v>231</v>
      </c>
      <c r="C104" s="60" t="s">
        <v>345</v>
      </c>
      <c r="D104" s="61" t="n">
        <v>246.6</v>
      </c>
      <c r="E104" s="62" t="n">
        <v>21</v>
      </c>
      <c r="F104" s="60" t="s">
        <v>391</v>
      </c>
    </row>
    <row r="105" customFormat="false" ht="15" hidden="false" customHeight="false" outlineLevel="0" collapsed="false">
      <c r="A105" s="60" t="s">
        <v>600</v>
      </c>
      <c r="B105" s="60" t="s">
        <v>230</v>
      </c>
      <c r="C105" s="60" t="s">
        <v>339</v>
      </c>
      <c r="D105" s="61" t="n">
        <v>249.7</v>
      </c>
      <c r="E105" s="62" t="n">
        <v>21.3</v>
      </c>
      <c r="F105" s="60" t="s">
        <v>391</v>
      </c>
    </row>
    <row r="106" customFormat="false" ht="15" hidden="false" customHeight="false" outlineLevel="0" collapsed="false">
      <c r="A106" s="60" t="s">
        <v>601</v>
      </c>
      <c r="B106" s="60" t="s">
        <v>226</v>
      </c>
      <c r="C106" s="60" t="s">
        <v>340</v>
      </c>
      <c r="D106" s="61" t="n">
        <v>250.9</v>
      </c>
      <c r="E106" s="62" t="n">
        <v>21.4</v>
      </c>
      <c r="F106" s="60" t="s">
        <v>391</v>
      </c>
    </row>
    <row r="107" customFormat="false" ht="15" hidden="false" customHeight="false" outlineLevel="0" collapsed="false">
      <c r="A107" s="60" t="s">
        <v>602</v>
      </c>
      <c r="B107" s="60" t="s">
        <v>226</v>
      </c>
      <c r="C107" s="60" t="s">
        <v>350</v>
      </c>
      <c r="D107" s="61" t="n">
        <v>251</v>
      </c>
      <c r="E107" s="62" t="n">
        <v>21.4</v>
      </c>
      <c r="F107" s="60" t="s">
        <v>391</v>
      </c>
    </row>
    <row r="108" customFormat="false" ht="15" hidden="false" customHeight="false" outlineLevel="0" collapsed="false">
      <c r="A108" s="60" t="s">
        <v>603</v>
      </c>
      <c r="B108" s="60" t="s">
        <v>226</v>
      </c>
      <c r="C108" s="60" t="s">
        <v>350</v>
      </c>
      <c r="D108" s="61" t="n">
        <v>256.7</v>
      </c>
      <c r="E108" s="62" t="n">
        <v>21.9</v>
      </c>
      <c r="F108" s="60" t="s">
        <v>391</v>
      </c>
    </row>
    <row r="109" customFormat="false" ht="15" hidden="false" customHeight="false" outlineLevel="0" collapsed="false">
      <c r="A109" s="60" t="s">
        <v>604</v>
      </c>
      <c r="B109" s="60" t="s">
        <v>226</v>
      </c>
      <c r="C109" s="60" t="s">
        <v>340</v>
      </c>
      <c r="D109" s="61" t="n">
        <v>259.4</v>
      </c>
      <c r="E109" s="62" t="n">
        <v>22.1</v>
      </c>
      <c r="F109" s="60" t="s">
        <v>391</v>
      </c>
    </row>
    <row r="110" customFormat="false" ht="15" hidden="false" customHeight="false" outlineLevel="0" collapsed="false">
      <c r="A110" s="60" t="s">
        <v>605</v>
      </c>
      <c r="B110" s="60" t="s">
        <v>231</v>
      </c>
      <c r="C110" s="60" t="s">
        <v>345</v>
      </c>
      <c r="D110" s="61" t="n">
        <v>261.2</v>
      </c>
      <c r="E110" s="62" t="n">
        <v>22.3</v>
      </c>
      <c r="F110" s="60" t="s">
        <v>391</v>
      </c>
    </row>
    <row r="111" customFormat="false" ht="15" hidden="false" customHeight="false" outlineLevel="0" collapsed="false">
      <c r="A111" s="60" t="s">
        <v>606</v>
      </c>
      <c r="B111" s="60" t="s">
        <v>231</v>
      </c>
      <c r="C111" s="60" t="s">
        <v>346</v>
      </c>
      <c r="D111" s="61" t="n">
        <v>265.5</v>
      </c>
      <c r="E111" s="62" t="n">
        <v>22.7</v>
      </c>
      <c r="F111" s="60" t="s">
        <v>391</v>
      </c>
    </row>
    <row r="112" customFormat="false" ht="15" hidden="false" customHeight="false" outlineLevel="0" collapsed="false">
      <c r="A112" s="60" t="s">
        <v>607</v>
      </c>
      <c r="B112" s="60" t="s">
        <v>230</v>
      </c>
      <c r="C112" s="60" t="s">
        <v>344</v>
      </c>
      <c r="D112" s="61" t="n">
        <v>270.3</v>
      </c>
      <c r="E112" s="62" t="n">
        <v>23.1</v>
      </c>
      <c r="F112" s="60" t="s">
        <v>391</v>
      </c>
    </row>
    <row r="113" customFormat="false" ht="15" hidden="false" customHeight="false" outlineLevel="0" collapsed="false">
      <c r="A113" s="60" t="s">
        <v>608</v>
      </c>
      <c r="B113" s="60" t="s">
        <v>226</v>
      </c>
      <c r="C113" s="60" t="s">
        <v>340</v>
      </c>
      <c r="D113" s="61" t="n">
        <v>271.5</v>
      </c>
      <c r="E113" s="62" t="n">
        <v>23.2</v>
      </c>
      <c r="F113" s="60" t="s">
        <v>391</v>
      </c>
    </row>
    <row r="114" customFormat="false" ht="15" hidden="false" customHeight="false" outlineLevel="0" collapsed="false">
      <c r="A114" s="60" t="s">
        <v>609</v>
      </c>
      <c r="B114" s="60" t="s">
        <v>226</v>
      </c>
      <c r="C114" s="60" t="s">
        <v>350</v>
      </c>
      <c r="D114" s="61" t="n">
        <v>274.2</v>
      </c>
      <c r="E114" s="62" t="n">
        <v>23.4</v>
      </c>
      <c r="F114" s="60" t="s">
        <v>391</v>
      </c>
    </row>
    <row r="115" customFormat="false" ht="15" hidden="false" customHeight="false" outlineLevel="0" collapsed="false">
      <c r="A115" s="60" t="s">
        <v>610</v>
      </c>
      <c r="B115" s="60" t="s">
        <v>226</v>
      </c>
      <c r="C115" s="60" t="s">
        <v>340</v>
      </c>
      <c r="D115" s="61" t="n">
        <v>275.5</v>
      </c>
      <c r="E115" s="62" t="n">
        <v>23.5</v>
      </c>
      <c r="F115" s="60" t="s">
        <v>391</v>
      </c>
    </row>
    <row r="116" customFormat="false" ht="15" hidden="false" customHeight="false" outlineLevel="0" collapsed="false">
      <c r="A116" s="60" t="s">
        <v>611</v>
      </c>
      <c r="B116" s="60" t="s">
        <v>226</v>
      </c>
      <c r="C116" s="60" t="s">
        <v>350</v>
      </c>
      <c r="D116" s="61" t="n">
        <v>276.1</v>
      </c>
      <c r="E116" s="62" t="n">
        <v>23.6</v>
      </c>
      <c r="F116" s="60" t="s">
        <v>391</v>
      </c>
    </row>
    <row r="117" customFormat="false" ht="15" hidden="false" customHeight="false" outlineLevel="0" collapsed="false">
      <c r="A117" s="60" t="s">
        <v>612</v>
      </c>
      <c r="B117" s="60" t="s">
        <v>226</v>
      </c>
      <c r="C117" s="60" t="s">
        <v>350</v>
      </c>
      <c r="D117" s="61" t="n">
        <v>280.5</v>
      </c>
      <c r="E117" s="62" t="n">
        <v>23.9</v>
      </c>
      <c r="F117" s="60" t="s">
        <v>391</v>
      </c>
    </row>
    <row r="118" customFormat="false" ht="15" hidden="false" customHeight="false" outlineLevel="0" collapsed="false">
      <c r="A118" s="60" t="s">
        <v>613</v>
      </c>
      <c r="B118" s="60" t="s">
        <v>229</v>
      </c>
      <c r="C118" s="60" t="s">
        <v>344</v>
      </c>
      <c r="D118" s="61" t="n">
        <v>280.7</v>
      </c>
      <c r="E118" s="62" t="n">
        <v>24</v>
      </c>
      <c r="F118" s="60" t="s">
        <v>391</v>
      </c>
    </row>
    <row r="119" customFormat="false" ht="15" hidden="false" customHeight="false" outlineLevel="0" collapsed="false">
      <c r="A119" s="60" t="s">
        <v>614</v>
      </c>
      <c r="B119" s="60" t="s">
        <v>226</v>
      </c>
      <c r="C119" s="60" t="s">
        <v>350</v>
      </c>
      <c r="D119" s="61" t="n">
        <v>283</v>
      </c>
      <c r="E119" s="62" t="n">
        <v>24.1</v>
      </c>
      <c r="F119" s="60" t="s">
        <v>391</v>
      </c>
    </row>
    <row r="120" customFormat="false" ht="15" hidden="false" customHeight="false" outlineLevel="0" collapsed="false">
      <c r="A120" s="60" t="s">
        <v>615</v>
      </c>
      <c r="B120" s="60" t="s">
        <v>230</v>
      </c>
      <c r="C120" s="60" t="s">
        <v>344</v>
      </c>
      <c r="D120" s="61" t="n">
        <v>288.3</v>
      </c>
      <c r="E120" s="62" t="n">
        <v>24.6</v>
      </c>
      <c r="F120" s="60" t="s">
        <v>391</v>
      </c>
    </row>
    <row r="121" customFormat="false" ht="15" hidden="false" customHeight="false" outlineLevel="0" collapsed="false">
      <c r="A121" s="60" t="s">
        <v>616</v>
      </c>
      <c r="B121" s="60" t="s">
        <v>226</v>
      </c>
      <c r="C121" s="60" t="s">
        <v>350</v>
      </c>
      <c r="D121" s="61" t="n">
        <v>289</v>
      </c>
      <c r="E121" s="62" t="n">
        <v>24.7</v>
      </c>
      <c r="F121" s="60" t="s">
        <v>391</v>
      </c>
    </row>
    <row r="122" customFormat="false" ht="15" hidden="false" customHeight="false" outlineLevel="0" collapsed="false">
      <c r="A122" s="60" t="s">
        <v>617</v>
      </c>
      <c r="B122" s="60" t="s">
        <v>226</v>
      </c>
      <c r="C122" s="60" t="s">
        <v>350</v>
      </c>
      <c r="D122" s="61" t="n">
        <v>290.2</v>
      </c>
      <c r="E122" s="62" t="n">
        <v>24.8</v>
      </c>
      <c r="F122" s="60" t="s">
        <v>391</v>
      </c>
    </row>
    <row r="123" customFormat="false" ht="15" hidden="false" customHeight="false" outlineLevel="0" collapsed="false">
      <c r="A123" s="71" t="s">
        <v>618</v>
      </c>
      <c r="B123" s="71" t="s">
        <v>226</v>
      </c>
      <c r="C123" s="71" t="s">
        <v>350</v>
      </c>
      <c r="D123" s="72" t="n">
        <v>292.5</v>
      </c>
      <c r="E123" s="73" t="n">
        <v>25</v>
      </c>
      <c r="F123" s="71" t="s">
        <v>470</v>
      </c>
    </row>
    <row r="124" customFormat="false" ht="15" hidden="false" customHeight="false" outlineLevel="0" collapsed="false">
      <c r="A124" s="71" t="s">
        <v>619</v>
      </c>
      <c r="B124" s="71" t="s">
        <v>226</v>
      </c>
      <c r="C124" s="71" t="s">
        <v>340</v>
      </c>
      <c r="D124" s="72" t="n">
        <v>293.9</v>
      </c>
      <c r="E124" s="73" t="n">
        <v>25.1</v>
      </c>
      <c r="F124" s="71" t="s">
        <v>470</v>
      </c>
    </row>
    <row r="125" customFormat="false" ht="15" hidden="false" customHeight="false" outlineLevel="0" collapsed="false">
      <c r="A125" s="71" t="s">
        <v>620</v>
      </c>
      <c r="B125" s="71" t="s">
        <v>230</v>
      </c>
      <c r="C125" s="71" t="s">
        <v>344</v>
      </c>
      <c r="D125" s="72" t="n">
        <v>298</v>
      </c>
      <c r="E125" s="73" t="n">
        <v>25.4</v>
      </c>
      <c r="F125" s="71" t="s">
        <v>470</v>
      </c>
    </row>
    <row r="126" customFormat="false" ht="15" hidden="false" customHeight="false" outlineLevel="0" collapsed="false">
      <c r="A126" s="71" t="s">
        <v>621</v>
      </c>
      <c r="B126" s="71" t="s">
        <v>229</v>
      </c>
      <c r="C126" s="71" t="s">
        <v>344</v>
      </c>
      <c r="D126" s="72" t="n">
        <v>299.9</v>
      </c>
      <c r="E126" s="73" t="n">
        <v>25.6</v>
      </c>
      <c r="F126" s="71" t="s">
        <v>470</v>
      </c>
    </row>
    <row r="127" customFormat="false" ht="15" hidden="false" customHeight="false" outlineLevel="0" collapsed="false">
      <c r="A127" s="71" t="s">
        <v>622</v>
      </c>
      <c r="B127" s="71" t="s">
        <v>226</v>
      </c>
      <c r="C127" s="71" t="s">
        <v>350</v>
      </c>
      <c r="D127" s="72" t="n">
        <v>300.9</v>
      </c>
      <c r="E127" s="73" t="n">
        <v>25.7</v>
      </c>
      <c r="F127" s="71" t="s">
        <v>470</v>
      </c>
    </row>
    <row r="128" customFormat="false" ht="15" hidden="false" customHeight="false" outlineLevel="0" collapsed="false">
      <c r="A128" s="71" t="s">
        <v>623</v>
      </c>
      <c r="B128" s="71" t="s">
        <v>226</v>
      </c>
      <c r="C128" s="71" t="s">
        <v>340</v>
      </c>
      <c r="D128" s="72" t="n">
        <v>301.6</v>
      </c>
      <c r="E128" s="73" t="n">
        <v>25.7</v>
      </c>
      <c r="F128" s="71" t="s">
        <v>470</v>
      </c>
    </row>
    <row r="129" customFormat="false" ht="15" hidden="false" customHeight="false" outlineLevel="0" collapsed="false">
      <c r="A129" s="71" t="s">
        <v>624</v>
      </c>
      <c r="B129" s="71" t="s">
        <v>226</v>
      </c>
      <c r="C129" s="71" t="s">
        <v>350</v>
      </c>
      <c r="D129" s="72" t="n">
        <v>303</v>
      </c>
      <c r="E129" s="73" t="n">
        <v>25.9</v>
      </c>
      <c r="F129" s="71" t="s">
        <v>470</v>
      </c>
    </row>
    <row r="130" customFormat="false" ht="15" hidden="false" customHeight="false" outlineLevel="0" collapsed="false">
      <c r="A130" s="71" t="s">
        <v>625</v>
      </c>
      <c r="B130" s="71" t="s">
        <v>228</v>
      </c>
      <c r="C130" s="71" t="s">
        <v>340</v>
      </c>
      <c r="D130" s="72" t="n">
        <v>303.2</v>
      </c>
      <c r="E130" s="73" t="n">
        <v>25.9</v>
      </c>
      <c r="F130" s="71" t="s">
        <v>470</v>
      </c>
    </row>
    <row r="131" customFormat="false" ht="15" hidden="false" customHeight="false" outlineLevel="0" collapsed="false">
      <c r="A131" s="71" t="s">
        <v>626</v>
      </c>
      <c r="B131" s="71" t="s">
        <v>231</v>
      </c>
      <c r="C131" s="71" t="s">
        <v>344</v>
      </c>
      <c r="D131" s="72" t="n">
        <v>305.5</v>
      </c>
      <c r="E131" s="73" t="n">
        <v>26.1</v>
      </c>
      <c r="F131" s="71" t="s">
        <v>470</v>
      </c>
    </row>
    <row r="132" customFormat="false" ht="15" hidden="false" customHeight="false" outlineLevel="0" collapsed="false">
      <c r="A132" s="71" t="s">
        <v>627</v>
      </c>
      <c r="B132" s="71" t="s">
        <v>227</v>
      </c>
      <c r="C132" s="71" t="s">
        <v>357</v>
      </c>
      <c r="D132" s="72" t="n">
        <v>309.9</v>
      </c>
      <c r="E132" s="73" t="n">
        <v>26.4</v>
      </c>
      <c r="F132" s="71" t="s">
        <v>470</v>
      </c>
    </row>
    <row r="133" customFormat="false" ht="15" hidden="false" customHeight="false" outlineLevel="0" collapsed="false">
      <c r="A133" s="71" t="s">
        <v>628</v>
      </c>
      <c r="B133" s="71" t="s">
        <v>226</v>
      </c>
      <c r="C133" s="71" t="s">
        <v>350</v>
      </c>
      <c r="D133" s="72" t="n">
        <v>310.3</v>
      </c>
      <c r="E133" s="73" t="n">
        <v>26.5</v>
      </c>
      <c r="F133" s="71" t="s">
        <v>470</v>
      </c>
    </row>
    <row r="134" customFormat="false" ht="15" hidden="false" customHeight="false" outlineLevel="0" collapsed="false">
      <c r="A134" s="71" t="s">
        <v>629</v>
      </c>
      <c r="B134" s="71" t="s">
        <v>226</v>
      </c>
      <c r="C134" s="71" t="s">
        <v>340</v>
      </c>
      <c r="D134" s="72" t="n">
        <v>313.9</v>
      </c>
      <c r="E134" s="73" t="n">
        <v>26.8</v>
      </c>
      <c r="F134" s="71" t="s">
        <v>470</v>
      </c>
    </row>
    <row r="135" customFormat="false" ht="15" hidden="false" customHeight="false" outlineLevel="0" collapsed="false">
      <c r="A135" s="71" t="s">
        <v>630</v>
      </c>
      <c r="B135" s="71" t="s">
        <v>231</v>
      </c>
      <c r="C135" s="71" t="s">
        <v>344</v>
      </c>
      <c r="D135" s="72" t="n">
        <v>315.3</v>
      </c>
      <c r="E135" s="73" t="n">
        <v>26.9</v>
      </c>
      <c r="F135" s="71" t="s">
        <v>470</v>
      </c>
    </row>
    <row r="136" customFormat="false" ht="15" hidden="false" customHeight="false" outlineLevel="0" collapsed="false">
      <c r="A136" s="71" t="s">
        <v>631</v>
      </c>
      <c r="B136" s="71" t="s">
        <v>226</v>
      </c>
      <c r="C136" s="71" t="s">
        <v>350</v>
      </c>
      <c r="D136" s="72" t="n">
        <v>323.1</v>
      </c>
      <c r="E136" s="73" t="n">
        <v>27.6</v>
      </c>
      <c r="F136" s="71" t="s">
        <v>470</v>
      </c>
    </row>
    <row r="137" customFormat="false" ht="15" hidden="false" customHeight="false" outlineLevel="0" collapsed="false">
      <c r="A137" s="71" t="s">
        <v>632</v>
      </c>
      <c r="B137" s="71" t="s">
        <v>226</v>
      </c>
      <c r="C137" s="71" t="s">
        <v>340</v>
      </c>
      <c r="D137" s="72" t="n">
        <v>323.8</v>
      </c>
      <c r="E137" s="73" t="n">
        <v>27.6</v>
      </c>
      <c r="F137" s="71" t="s">
        <v>470</v>
      </c>
    </row>
    <row r="138" customFormat="false" ht="15" hidden="false" customHeight="false" outlineLevel="0" collapsed="false">
      <c r="A138" s="71" t="s">
        <v>633</v>
      </c>
      <c r="B138" s="71" t="s">
        <v>230</v>
      </c>
      <c r="C138" s="71" t="s">
        <v>339</v>
      </c>
      <c r="D138" s="72" t="n">
        <v>323.8</v>
      </c>
      <c r="E138" s="73" t="n">
        <v>27.6</v>
      </c>
      <c r="F138" s="71" t="s">
        <v>470</v>
      </c>
    </row>
    <row r="139" customFormat="false" ht="15" hidden="false" customHeight="false" outlineLevel="0" collapsed="false">
      <c r="A139" s="71" t="s">
        <v>634</v>
      </c>
      <c r="B139" s="71" t="s">
        <v>226</v>
      </c>
      <c r="C139" s="71" t="s">
        <v>350</v>
      </c>
      <c r="D139" s="72" t="n">
        <v>326.7</v>
      </c>
      <c r="E139" s="73" t="n">
        <v>27.9</v>
      </c>
      <c r="F139" s="71" t="s">
        <v>470</v>
      </c>
    </row>
    <row r="140" customFormat="false" ht="15" hidden="false" customHeight="false" outlineLevel="0" collapsed="false">
      <c r="A140" s="71" t="s">
        <v>635</v>
      </c>
      <c r="B140" s="71" t="s">
        <v>229</v>
      </c>
      <c r="C140" s="71" t="s">
        <v>344</v>
      </c>
      <c r="D140" s="72" t="n">
        <v>337.1</v>
      </c>
      <c r="E140" s="73" t="n">
        <v>28.8</v>
      </c>
      <c r="F140" s="71" t="s">
        <v>470</v>
      </c>
    </row>
    <row r="141" customFormat="false" ht="15" hidden="false" customHeight="false" outlineLevel="0" collapsed="false">
      <c r="A141" s="71" t="s">
        <v>636</v>
      </c>
      <c r="B141" s="71" t="s">
        <v>226</v>
      </c>
      <c r="C141" s="71" t="s">
        <v>350</v>
      </c>
      <c r="D141" s="72" t="n">
        <v>337.4</v>
      </c>
      <c r="E141" s="73" t="n">
        <v>28.8</v>
      </c>
      <c r="F141" s="71" t="s">
        <v>470</v>
      </c>
    </row>
    <row r="142" customFormat="false" ht="15" hidden="false" customHeight="false" outlineLevel="0" collapsed="false">
      <c r="A142" s="71" t="s">
        <v>637</v>
      </c>
      <c r="B142" s="71" t="s">
        <v>229</v>
      </c>
      <c r="C142" s="71" t="s">
        <v>339</v>
      </c>
      <c r="D142" s="72" t="n">
        <v>341.9</v>
      </c>
      <c r="E142" s="73" t="n">
        <v>29.2</v>
      </c>
      <c r="F142" s="71" t="s">
        <v>470</v>
      </c>
    </row>
    <row r="143" customFormat="false" ht="15" hidden="false" customHeight="false" outlineLevel="0" collapsed="false">
      <c r="A143" s="71" t="s">
        <v>638</v>
      </c>
      <c r="B143" s="71" t="s">
        <v>230</v>
      </c>
      <c r="C143" s="71" t="s">
        <v>344</v>
      </c>
      <c r="D143" s="72" t="n">
        <v>344.2</v>
      </c>
      <c r="E143" s="73" t="n">
        <v>29.4</v>
      </c>
      <c r="F143" s="71" t="s">
        <v>470</v>
      </c>
    </row>
    <row r="144" customFormat="false" ht="15" hidden="false" customHeight="false" outlineLevel="0" collapsed="false">
      <c r="A144" s="71" t="s">
        <v>639</v>
      </c>
      <c r="B144" s="71" t="s">
        <v>230</v>
      </c>
      <c r="C144" s="71" t="s">
        <v>344</v>
      </c>
      <c r="D144" s="72" t="n">
        <v>346.2</v>
      </c>
      <c r="E144" s="73" t="n">
        <v>29.5</v>
      </c>
      <c r="F144" s="71" t="s">
        <v>470</v>
      </c>
    </row>
    <row r="145" customFormat="false" ht="15" hidden="false" customHeight="false" outlineLevel="0" collapsed="false">
      <c r="A145" s="71" t="s">
        <v>640</v>
      </c>
      <c r="B145" s="71" t="s">
        <v>228</v>
      </c>
      <c r="C145" s="71" t="s">
        <v>340</v>
      </c>
      <c r="D145" s="72" t="n">
        <v>346.8</v>
      </c>
      <c r="E145" s="73" t="n">
        <v>29.6</v>
      </c>
      <c r="F145" s="71" t="s">
        <v>470</v>
      </c>
    </row>
    <row r="146" customFormat="false" ht="15" hidden="false" customHeight="false" outlineLevel="0" collapsed="false">
      <c r="A146" s="71" t="s">
        <v>641</v>
      </c>
      <c r="B146" s="71" t="s">
        <v>227</v>
      </c>
      <c r="C146" s="71" t="s">
        <v>353</v>
      </c>
      <c r="D146" s="72" t="n">
        <v>347</v>
      </c>
      <c r="E146" s="73" t="n">
        <v>29.6</v>
      </c>
      <c r="F146" s="71" t="s">
        <v>470</v>
      </c>
    </row>
    <row r="147" customFormat="false" ht="15" hidden="false" customHeight="false" outlineLevel="0" collapsed="false">
      <c r="A147" s="71" t="s">
        <v>642</v>
      </c>
      <c r="B147" s="71" t="s">
        <v>229</v>
      </c>
      <c r="C147" s="71" t="s">
        <v>344</v>
      </c>
      <c r="D147" s="72" t="n">
        <v>356.8</v>
      </c>
      <c r="E147" s="73" t="n">
        <v>30.4</v>
      </c>
      <c r="F147" s="71" t="s">
        <v>470</v>
      </c>
    </row>
    <row r="148" customFormat="false" ht="15" hidden="false" customHeight="false" outlineLevel="0" collapsed="false">
      <c r="A148" s="71" t="s">
        <v>643</v>
      </c>
      <c r="B148" s="71" t="s">
        <v>229</v>
      </c>
      <c r="C148" s="71" t="s">
        <v>344</v>
      </c>
      <c r="D148" s="72" t="n">
        <v>357.3</v>
      </c>
      <c r="E148" s="73" t="n">
        <v>30.5</v>
      </c>
      <c r="F148" s="71" t="s">
        <v>470</v>
      </c>
    </row>
    <row r="149" customFormat="false" ht="15" hidden="false" customHeight="false" outlineLevel="0" collapsed="false">
      <c r="A149" s="71" t="s">
        <v>644</v>
      </c>
      <c r="B149" s="71" t="s">
        <v>229</v>
      </c>
      <c r="C149" s="71" t="s">
        <v>344</v>
      </c>
      <c r="D149" s="72" t="n">
        <v>364.2</v>
      </c>
      <c r="E149" s="73" t="n">
        <v>31.1</v>
      </c>
      <c r="F149" s="71" t="s">
        <v>470</v>
      </c>
    </row>
    <row r="150" customFormat="false" ht="15" hidden="false" customHeight="false" outlineLevel="0" collapsed="false">
      <c r="A150" s="71" t="s">
        <v>645</v>
      </c>
      <c r="B150" s="71" t="s">
        <v>227</v>
      </c>
      <c r="C150" s="71" t="s">
        <v>353</v>
      </c>
      <c r="D150" s="72" t="n">
        <v>368.4</v>
      </c>
      <c r="E150" s="73" t="n">
        <v>31.4</v>
      </c>
      <c r="F150" s="71" t="s">
        <v>470</v>
      </c>
    </row>
    <row r="151" customFormat="false" ht="15" hidden="false" customHeight="false" outlineLevel="0" collapsed="false">
      <c r="A151" s="71" t="s">
        <v>646</v>
      </c>
      <c r="B151" s="71" t="s">
        <v>227</v>
      </c>
      <c r="C151" s="71" t="s">
        <v>354</v>
      </c>
      <c r="D151" s="72" t="n">
        <v>369.4</v>
      </c>
      <c r="E151" s="73" t="n">
        <v>31.5</v>
      </c>
      <c r="F151" s="71" t="s">
        <v>470</v>
      </c>
    </row>
    <row r="152" customFormat="false" ht="15" hidden="false" customHeight="false" outlineLevel="0" collapsed="false">
      <c r="A152" s="71" t="s">
        <v>647</v>
      </c>
      <c r="B152" s="71" t="s">
        <v>228</v>
      </c>
      <c r="C152" s="71" t="s">
        <v>340</v>
      </c>
      <c r="D152" s="72" t="n">
        <v>372.3</v>
      </c>
      <c r="E152" s="73" t="n">
        <v>31.8</v>
      </c>
      <c r="F152" s="71" t="s">
        <v>470</v>
      </c>
    </row>
    <row r="153" customFormat="false" ht="15" hidden="false" customHeight="false" outlineLevel="0" collapsed="false">
      <c r="A153" s="71" t="s">
        <v>648</v>
      </c>
      <c r="B153" s="71" t="s">
        <v>229</v>
      </c>
      <c r="C153" s="71" t="s">
        <v>339</v>
      </c>
      <c r="D153" s="72" t="n">
        <v>374.8</v>
      </c>
      <c r="E153" s="73" t="n">
        <v>32</v>
      </c>
      <c r="F153" s="71" t="s">
        <v>470</v>
      </c>
    </row>
    <row r="154" customFormat="false" ht="15" hidden="false" customHeight="false" outlineLevel="0" collapsed="false">
      <c r="A154" s="71" t="s">
        <v>649</v>
      </c>
      <c r="B154" s="71" t="s">
        <v>229</v>
      </c>
      <c r="C154" s="71" t="s">
        <v>344</v>
      </c>
      <c r="D154" s="72" t="n">
        <v>375.6</v>
      </c>
      <c r="E154" s="73" t="n">
        <v>32.1</v>
      </c>
      <c r="F154" s="71" t="s">
        <v>470</v>
      </c>
    </row>
    <row r="155" customFormat="false" ht="15" hidden="false" customHeight="false" outlineLevel="0" collapsed="false">
      <c r="A155" s="71" t="s">
        <v>650</v>
      </c>
      <c r="B155" s="71" t="s">
        <v>227</v>
      </c>
      <c r="C155" s="71" t="s">
        <v>357</v>
      </c>
      <c r="D155" s="72" t="n">
        <v>385.1</v>
      </c>
      <c r="E155" s="73" t="n">
        <v>32.9</v>
      </c>
      <c r="F155" s="71" t="s">
        <v>470</v>
      </c>
    </row>
    <row r="156" customFormat="false" ht="15" hidden="false" customHeight="false" outlineLevel="0" collapsed="false">
      <c r="A156" s="71" t="s">
        <v>651</v>
      </c>
      <c r="B156" s="71" t="s">
        <v>228</v>
      </c>
      <c r="C156" s="71" t="s">
        <v>340</v>
      </c>
      <c r="D156" s="72" t="n">
        <v>388.7</v>
      </c>
      <c r="E156" s="73" t="n">
        <v>33.2</v>
      </c>
      <c r="F156" s="71" t="s">
        <v>470</v>
      </c>
    </row>
    <row r="157" customFormat="false" ht="15" hidden="false" customHeight="false" outlineLevel="0" collapsed="false">
      <c r="A157" s="71" t="s">
        <v>652</v>
      </c>
      <c r="B157" s="71" t="s">
        <v>228</v>
      </c>
      <c r="C157" s="71" t="s">
        <v>340</v>
      </c>
      <c r="D157" s="72" t="n">
        <v>397.5</v>
      </c>
      <c r="E157" s="73" t="n">
        <v>33.9</v>
      </c>
      <c r="F157" s="71" t="s">
        <v>470</v>
      </c>
    </row>
    <row r="158" customFormat="false" ht="15" hidden="false" customHeight="false" outlineLevel="0" collapsed="false">
      <c r="A158" s="71" t="s">
        <v>653</v>
      </c>
      <c r="B158" s="71" t="s">
        <v>230</v>
      </c>
      <c r="C158" s="71" t="s">
        <v>339</v>
      </c>
      <c r="D158" s="72" t="n">
        <v>397.6</v>
      </c>
      <c r="E158" s="73" t="n">
        <v>33.9</v>
      </c>
      <c r="F158" s="71" t="s">
        <v>470</v>
      </c>
    </row>
    <row r="159" customFormat="false" ht="15" hidden="false" customHeight="false" outlineLevel="0" collapsed="false">
      <c r="A159" s="71" t="s">
        <v>654</v>
      </c>
      <c r="B159" s="71" t="s">
        <v>229</v>
      </c>
      <c r="C159" s="71" t="s">
        <v>344</v>
      </c>
      <c r="D159" s="72" t="n">
        <v>397.8</v>
      </c>
      <c r="E159" s="73" t="n">
        <v>33.9</v>
      </c>
      <c r="F159" s="71" t="s">
        <v>470</v>
      </c>
    </row>
    <row r="160" customFormat="false" ht="15" hidden="false" customHeight="false" outlineLevel="0" collapsed="false">
      <c r="A160" s="71" t="s">
        <v>655</v>
      </c>
      <c r="B160" s="71" t="s">
        <v>228</v>
      </c>
      <c r="C160" s="71" t="s">
        <v>340</v>
      </c>
      <c r="D160" s="72" t="n">
        <v>398.5</v>
      </c>
      <c r="E160" s="73" t="n">
        <v>34</v>
      </c>
      <c r="F160" s="71" t="s">
        <v>470</v>
      </c>
    </row>
    <row r="161" customFormat="false" ht="15" hidden="false" customHeight="false" outlineLevel="0" collapsed="false">
      <c r="A161" s="71" t="s">
        <v>656</v>
      </c>
      <c r="B161" s="71" t="s">
        <v>228</v>
      </c>
      <c r="C161" s="71" t="s">
        <v>340</v>
      </c>
      <c r="D161" s="72" t="n">
        <v>402.7</v>
      </c>
      <c r="E161" s="73" t="n">
        <v>34.4</v>
      </c>
      <c r="F161" s="71" t="s">
        <v>470</v>
      </c>
    </row>
    <row r="162" customFormat="false" ht="15" hidden="false" customHeight="false" outlineLevel="0" collapsed="false">
      <c r="A162" s="71" t="s">
        <v>657</v>
      </c>
      <c r="B162" s="71" t="s">
        <v>230</v>
      </c>
      <c r="C162" s="71" t="s">
        <v>344</v>
      </c>
      <c r="D162" s="72" t="n">
        <v>403.2</v>
      </c>
      <c r="E162" s="73" t="n">
        <v>34.4</v>
      </c>
      <c r="F162" s="71" t="s">
        <v>470</v>
      </c>
    </row>
    <row r="163" customFormat="false" ht="15" hidden="false" customHeight="false" outlineLevel="0" collapsed="false">
      <c r="A163" s="71" t="s">
        <v>658</v>
      </c>
      <c r="B163" s="71" t="s">
        <v>228</v>
      </c>
      <c r="C163" s="71" t="s">
        <v>340</v>
      </c>
      <c r="D163" s="72" t="n">
        <v>403.3</v>
      </c>
      <c r="E163" s="73" t="n">
        <v>34.4</v>
      </c>
      <c r="F163" s="71" t="s">
        <v>470</v>
      </c>
    </row>
    <row r="164" customFormat="false" ht="15" hidden="false" customHeight="false" outlineLevel="0" collapsed="false">
      <c r="A164" s="71" t="s">
        <v>659</v>
      </c>
      <c r="B164" s="71" t="s">
        <v>228</v>
      </c>
      <c r="C164" s="71" t="s">
        <v>340</v>
      </c>
      <c r="D164" s="72" t="n">
        <v>403.3</v>
      </c>
      <c r="E164" s="73" t="n">
        <v>34.4</v>
      </c>
      <c r="F164" s="71" t="s">
        <v>470</v>
      </c>
    </row>
    <row r="165" customFormat="false" ht="15" hidden="false" customHeight="false" outlineLevel="0" collapsed="false">
      <c r="A165" s="71" t="s">
        <v>660</v>
      </c>
      <c r="B165" s="71" t="s">
        <v>228</v>
      </c>
      <c r="C165" s="71" t="s">
        <v>340</v>
      </c>
      <c r="D165" s="72" t="n">
        <v>406.1</v>
      </c>
      <c r="E165" s="73" t="n">
        <v>34.7</v>
      </c>
      <c r="F165" s="71" t="s">
        <v>470</v>
      </c>
    </row>
    <row r="166" customFormat="false" ht="15" hidden="false" customHeight="false" outlineLevel="0" collapsed="false">
      <c r="A166" s="71" t="s">
        <v>661</v>
      </c>
      <c r="B166" s="71" t="s">
        <v>228</v>
      </c>
      <c r="C166" s="71" t="s">
        <v>340</v>
      </c>
      <c r="D166" s="72" t="n">
        <v>406.8</v>
      </c>
      <c r="E166" s="73" t="n">
        <v>34.7</v>
      </c>
      <c r="F166" s="71" t="s">
        <v>470</v>
      </c>
    </row>
    <row r="167" customFormat="false" ht="15" hidden="false" customHeight="false" outlineLevel="0" collapsed="false">
      <c r="A167" s="71" t="s">
        <v>662</v>
      </c>
      <c r="B167" s="71" t="s">
        <v>228</v>
      </c>
      <c r="C167" s="71" t="s">
        <v>340</v>
      </c>
      <c r="D167" s="72" t="n">
        <v>410.1</v>
      </c>
      <c r="E167" s="73" t="n">
        <v>35</v>
      </c>
      <c r="F167" s="71" t="s">
        <v>470</v>
      </c>
    </row>
    <row r="168" customFormat="false" ht="15" hidden="false" customHeight="false" outlineLevel="0" collapsed="false">
      <c r="A168" s="71" t="s">
        <v>663</v>
      </c>
      <c r="B168" s="71" t="s">
        <v>230</v>
      </c>
      <c r="C168" s="71" t="s">
        <v>339</v>
      </c>
      <c r="D168" s="72" t="n">
        <v>410.2</v>
      </c>
      <c r="E168" s="73" t="n">
        <v>35</v>
      </c>
      <c r="F168" s="71" t="s">
        <v>470</v>
      </c>
    </row>
    <row r="169" customFormat="false" ht="15" hidden="false" customHeight="false" outlineLevel="0" collapsed="false">
      <c r="A169" s="71" t="s">
        <v>664</v>
      </c>
      <c r="B169" s="71" t="s">
        <v>228</v>
      </c>
      <c r="C169" s="71" t="s">
        <v>340</v>
      </c>
      <c r="D169" s="72" t="n">
        <v>410.6</v>
      </c>
      <c r="E169" s="73" t="n">
        <v>35</v>
      </c>
      <c r="F169" s="71" t="s">
        <v>470</v>
      </c>
    </row>
    <row r="170" customFormat="false" ht="15" hidden="false" customHeight="false" outlineLevel="0" collapsed="false">
      <c r="A170" s="71" t="s">
        <v>665</v>
      </c>
      <c r="B170" s="71" t="s">
        <v>227</v>
      </c>
      <c r="C170" s="71" t="s">
        <v>353</v>
      </c>
      <c r="D170" s="72" t="n">
        <v>413.5</v>
      </c>
      <c r="E170" s="73" t="n">
        <v>35.3</v>
      </c>
      <c r="F170" s="71" t="s">
        <v>470</v>
      </c>
    </row>
    <row r="171" customFormat="false" ht="15" hidden="false" customHeight="false" outlineLevel="0" collapsed="false">
      <c r="A171" s="71" t="s">
        <v>666</v>
      </c>
      <c r="B171" s="71" t="s">
        <v>228</v>
      </c>
      <c r="C171" s="71" t="s">
        <v>340</v>
      </c>
      <c r="D171" s="72" t="n">
        <v>419.2</v>
      </c>
      <c r="E171" s="73" t="n">
        <v>35.8</v>
      </c>
      <c r="F171" s="71" t="s">
        <v>470</v>
      </c>
    </row>
    <row r="172" customFormat="false" ht="15" hidden="false" customHeight="false" outlineLevel="0" collapsed="false">
      <c r="A172" s="71" t="s">
        <v>667</v>
      </c>
      <c r="B172" s="71" t="s">
        <v>230</v>
      </c>
      <c r="C172" s="71" t="s">
        <v>339</v>
      </c>
      <c r="D172" s="72" t="n">
        <v>423.5</v>
      </c>
      <c r="E172" s="73" t="n">
        <v>36.1</v>
      </c>
      <c r="F172" s="71" t="s">
        <v>470</v>
      </c>
    </row>
    <row r="173" customFormat="false" ht="15" hidden="false" customHeight="false" outlineLevel="0" collapsed="false">
      <c r="A173" s="71" t="s">
        <v>668</v>
      </c>
      <c r="B173" s="71" t="s">
        <v>228</v>
      </c>
      <c r="C173" s="71" t="s">
        <v>340</v>
      </c>
      <c r="D173" s="72" t="n">
        <v>432.6</v>
      </c>
      <c r="E173" s="73" t="n">
        <v>36.9</v>
      </c>
      <c r="F173" s="71" t="s">
        <v>470</v>
      </c>
    </row>
    <row r="174" customFormat="false" ht="15" hidden="false" customHeight="false" outlineLevel="0" collapsed="false">
      <c r="A174" s="71" t="s">
        <v>669</v>
      </c>
      <c r="B174" s="71" t="s">
        <v>230</v>
      </c>
      <c r="C174" s="71" t="s">
        <v>339</v>
      </c>
      <c r="D174" s="72" t="n">
        <v>437.1</v>
      </c>
      <c r="E174" s="73" t="n">
        <v>37.3</v>
      </c>
      <c r="F174" s="71" t="s">
        <v>470</v>
      </c>
    </row>
    <row r="175" customFormat="false" ht="15" hidden="false" customHeight="false" outlineLevel="0" collapsed="false">
      <c r="A175" s="71" t="s">
        <v>670</v>
      </c>
      <c r="B175" s="71" t="s">
        <v>229</v>
      </c>
      <c r="C175" s="71" t="s">
        <v>344</v>
      </c>
      <c r="D175" s="72" t="n">
        <v>445.4</v>
      </c>
      <c r="E175" s="73" t="n">
        <v>38</v>
      </c>
      <c r="F175" s="71" t="s">
        <v>470</v>
      </c>
    </row>
    <row r="176" customFormat="false" ht="15" hidden="false" customHeight="false" outlineLevel="0" collapsed="false">
      <c r="A176" s="71" t="s">
        <v>671</v>
      </c>
      <c r="B176" s="71" t="s">
        <v>229</v>
      </c>
      <c r="C176" s="71" t="s">
        <v>344</v>
      </c>
      <c r="D176" s="72" t="n">
        <v>479.2</v>
      </c>
      <c r="E176" s="73" t="n">
        <v>40.9</v>
      </c>
      <c r="F176" s="71" t="s">
        <v>470</v>
      </c>
    </row>
    <row r="177" customFormat="false" ht="15" hidden="false" customHeight="false" outlineLevel="0" collapsed="false">
      <c r="A177" s="71" t="s">
        <v>672</v>
      </c>
      <c r="B177" s="71" t="s">
        <v>229</v>
      </c>
      <c r="C177" s="71" t="s">
        <v>339</v>
      </c>
      <c r="D177" s="72" t="n">
        <v>481.9</v>
      </c>
      <c r="E177" s="73" t="n">
        <v>41.1</v>
      </c>
      <c r="F177" s="71" t="s">
        <v>470</v>
      </c>
    </row>
    <row r="178" customFormat="false" ht="15" hidden="false" customHeight="false" outlineLevel="0" collapsed="false">
      <c r="A178" s="71" t="s">
        <v>673</v>
      </c>
      <c r="B178" s="71" t="s">
        <v>229</v>
      </c>
      <c r="C178" s="71" t="s">
        <v>339</v>
      </c>
      <c r="D178" s="72" t="n">
        <v>491</v>
      </c>
      <c r="E178" s="73" t="n">
        <v>41.9</v>
      </c>
      <c r="F178" s="71" t="s">
        <v>470</v>
      </c>
    </row>
    <row r="179" customFormat="false" ht="15" hidden="false" customHeight="false" outlineLevel="0" collapsed="false">
      <c r="A179" s="71" t="s">
        <v>674</v>
      </c>
      <c r="B179" s="71" t="s">
        <v>227</v>
      </c>
      <c r="C179" s="71" t="s">
        <v>357</v>
      </c>
      <c r="D179" s="72" t="n">
        <v>495.8</v>
      </c>
      <c r="E179" s="73" t="n">
        <v>42.3</v>
      </c>
      <c r="F179" s="71" t="s">
        <v>470</v>
      </c>
    </row>
    <row r="180" customFormat="false" ht="15" hidden="false" customHeight="false" outlineLevel="0" collapsed="false">
      <c r="A180" s="71" t="s">
        <v>675</v>
      </c>
      <c r="B180" s="71" t="s">
        <v>227</v>
      </c>
      <c r="C180" s="71" t="s">
        <v>353</v>
      </c>
      <c r="D180" s="72" t="n">
        <v>508.1</v>
      </c>
      <c r="E180" s="73" t="n">
        <v>43.4</v>
      </c>
      <c r="F180" s="71" t="s">
        <v>470</v>
      </c>
    </row>
    <row r="181" customFormat="false" ht="15" hidden="false" customHeight="false" outlineLevel="0" collapsed="false">
      <c r="A181" s="71" t="s">
        <v>676</v>
      </c>
      <c r="B181" s="71" t="s">
        <v>227</v>
      </c>
      <c r="C181" s="71" t="s">
        <v>357</v>
      </c>
      <c r="D181" s="72" t="n">
        <v>512.9</v>
      </c>
      <c r="E181" s="73" t="n">
        <v>43.8</v>
      </c>
      <c r="F181" s="71" t="s">
        <v>470</v>
      </c>
    </row>
    <row r="182" customFormat="false" ht="15" hidden="false" customHeight="false" outlineLevel="0" collapsed="false">
      <c r="A182" s="71" t="s">
        <v>677</v>
      </c>
      <c r="B182" s="71" t="s">
        <v>227</v>
      </c>
      <c r="C182" s="71" t="s">
        <v>353</v>
      </c>
      <c r="D182" s="72" t="n">
        <v>513.2</v>
      </c>
      <c r="E182" s="73" t="n">
        <v>43.8</v>
      </c>
      <c r="F182" s="71" t="s">
        <v>470</v>
      </c>
    </row>
    <row r="183" customFormat="false" ht="15" hidden="false" customHeight="false" outlineLevel="0" collapsed="false">
      <c r="A183" s="71" t="s">
        <v>678</v>
      </c>
      <c r="B183" s="71" t="s">
        <v>227</v>
      </c>
      <c r="C183" s="71" t="s">
        <v>357</v>
      </c>
      <c r="D183" s="72" t="n">
        <v>517.3</v>
      </c>
      <c r="E183" s="73" t="n">
        <v>44.1</v>
      </c>
      <c r="F183" s="71" t="s">
        <v>470</v>
      </c>
    </row>
    <row r="184" customFormat="false" ht="15" hidden="false" customHeight="false" outlineLevel="0" collapsed="false">
      <c r="A184" s="71" t="s">
        <v>679</v>
      </c>
      <c r="B184" s="71" t="s">
        <v>227</v>
      </c>
      <c r="C184" s="71" t="s">
        <v>354</v>
      </c>
      <c r="D184" s="72" t="n">
        <v>519.9</v>
      </c>
      <c r="E184" s="73" t="n">
        <v>44.4</v>
      </c>
      <c r="F184" s="71" t="s">
        <v>470</v>
      </c>
    </row>
    <row r="185" customFormat="false" ht="15" hidden="false" customHeight="false" outlineLevel="0" collapsed="false">
      <c r="A185" s="71" t="s">
        <v>680</v>
      </c>
      <c r="B185" s="71" t="s">
        <v>227</v>
      </c>
      <c r="C185" s="71" t="s">
        <v>353</v>
      </c>
      <c r="D185" s="72" t="n">
        <v>553.3</v>
      </c>
      <c r="E185" s="73" t="n">
        <v>47.2</v>
      </c>
      <c r="F185" s="71" t="s">
        <v>470</v>
      </c>
    </row>
    <row r="186" customFormat="false" ht="15" hidden="false" customHeight="false" outlineLevel="0" collapsed="false">
      <c r="A186" s="74" t="s">
        <v>681</v>
      </c>
      <c r="B186" s="74" t="s">
        <v>227</v>
      </c>
      <c r="C186" s="74" t="s">
        <v>354</v>
      </c>
      <c r="D186" s="75" t="n">
        <v>588.9</v>
      </c>
      <c r="E186" s="76" t="n">
        <v>50.3</v>
      </c>
      <c r="F186" s="74" t="s">
        <v>524</v>
      </c>
    </row>
    <row r="187" customFormat="false" ht="15" hidden="false" customHeight="false" outlineLevel="0" collapsed="false">
      <c r="A187" s="74" t="s">
        <v>310</v>
      </c>
      <c r="B187" s="74" t="s">
        <v>227</v>
      </c>
      <c r="C187" s="74" t="s">
        <v>354</v>
      </c>
      <c r="D187" s="75" t="n">
        <v>613.9</v>
      </c>
      <c r="E187" s="76" t="n">
        <v>52.4</v>
      </c>
      <c r="F187" s="74" t="s">
        <v>524</v>
      </c>
    </row>
    <row r="188" customFormat="false" ht="15" hidden="false" customHeight="false" outlineLevel="0" collapsed="false">
      <c r="A188" s="74" t="s">
        <v>304</v>
      </c>
      <c r="B188" s="74" t="s">
        <v>227</v>
      </c>
      <c r="C188" s="74" t="s">
        <v>353</v>
      </c>
      <c r="D188" s="75" t="n">
        <v>617.7</v>
      </c>
      <c r="E188" s="76" t="n">
        <v>52.7</v>
      </c>
      <c r="F188" s="74" t="s">
        <v>524</v>
      </c>
    </row>
    <row r="189" customFormat="false" ht="15" hidden="false" customHeight="false" outlineLevel="0" collapsed="false">
      <c r="A189" s="74" t="s">
        <v>296</v>
      </c>
      <c r="B189" s="74" t="s">
        <v>227</v>
      </c>
      <c r="C189" s="74" t="s">
        <v>354</v>
      </c>
      <c r="D189" s="75" t="n">
        <v>630.9</v>
      </c>
      <c r="E189" s="76" t="n">
        <v>53.8</v>
      </c>
      <c r="F189" s="74" t="s">
        <v>524</v>
      </c>
    </row>
    <row r="190" customFormat="false" ht="15" hidden="false" customHeight="false" outlineLevel="0" collapsed="false">
      <c r="A190" s="74" t="s">
        <v>290</v>
      </c>
      <c r="B190" s="74" t="s">
        <v>227</v>
      </c>
      <c r="C190" s="74" t="s">
        <v>354</v>
      </c>
      <c r="D190" s="75" t="n">
        <v>653.4</v>
      </c>
      <c r="E190" s="76" t="n">
        <v>55.8</v>
      </c>
      <c r="F190" s="74" t="s">
        <v>524</v>
      </c>
    </row>
  </sheetData>
  <mergeCells count="7">
    <mergeCell ref="A1:F1"/>
    <mergeCell ref="A10:F10"/>
    <mergeCell ref="A11:F11"/>
    <mergeCell ref="A12:F12"/>
    <mergeCell ref="A13:F13"/>
    <mergeCell ref="A14:F14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682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36445.5</v>
      </c>
    </row>
    <row r="4" customFormat="false" ht="15" hidden="false" customHeight="false" outlineLevel="0" collapsed="false">
      <c r="A4" s="39" t="s">
        <v>134</v>
      </c>
      <c r="B4" s="0" t="n">
        <v>124</v>
      </c>
    </row>
    <row r="5" customFormat="false" ht="15" hidden="false" customHeight="false" outlineLevel="0" collapsed="false">
      <c r="A5" s="39" t="s">
        <v>368</v>
      </c>
      <c r="B5" s="53" t="s">
        <v>683</v>
      </c>
    </row>
    <row r="6" customFormat="false" ht="15" hidden="false" customHeight="false" outlineLevel="0" collapsed="false">
      <c r="A6" s="39" t="s">
        <v>370</v>
      </c>
      <c r="B6" s="54" t="n">
        <v>22.5668795341359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0.451337590682717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684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685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686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687</v>
      </c>
      <c r="B14" s="58"/>
      <c r="C14" s="58"/>
      <c r="D14" s="58"/>
      <c r="E14" s="58"/>
      <c r="F14" s="58"/>
    </row>
    <row r="15" customFormat="false" ht="34.5" hidden="false" customHeight="true" outlineLevel="0" collapsed="false">
      <c r="A15" s="58" t="s">
        <v>688</v>
      </c>
      <c r="B15" s="58"/>
      <c r="C15" s="58"/>
      <c r="D15" s="58"/>
      <c r="E15" s="58"/>
      <c r="F15" s="58"/>
    </row>
    <row r="17" customFormat="false" ht="15" hidden="false" customHeight="false" outlineLevel="0" collapsed="false">
      <c r="A17" s="59" t="s">
        <v>378</v>
      </c>
    </row>
    <row r="18" customFormat="false" ht="26.85" hidden="false" customHeight="false" outlineLevel="0" collapsed="false">
      <c r="A18" s="6" t="s">
        <v>210</v>
      </c>
      <c r="B18" s="6" t="s">
        <v>134</v>
      </c>
      <c r="C18" s="6" t="s">
        <v>132</v>
      </c>
      <c r="D18" s="6" t="s">
        <v>379</v>
      </c>
      <c r="E18" s="6" t="s">
        <v>380</v>
      </c>
    </row>
    <row r="19" customFormat="false" ht="15" hidden="false" customHeight="false" outlineLevel="0" collapsed="false">
      <c r="A19" s="60" t="s">
        <v>212</v>
      </c>
      <c r="B19" s="60" t="n">
        <v>17</v>
      </c>
      <c r="C19" s="61" t="n">
        <v>8455.1</v>
      </c>
      <c r="D19" s="62" t="n">
        <v>497.4</v>
      </c>
      <c r="E19" s="62" t="n">
        <v>38.2</v>
      </c>
    </row>
    <row r="20" customFormat="false" ht="15" hidden="false" customHeight="false" outlineLevel="0" collapsed="false">
      <c r="A20" s="60" t="s">
        <v>213</v>
      </c>
      <c r="B20" s="60" t="n">
        <v>16</v>
      </c>
      <c r="C20" s="61" t="n">
        <v>7547.8</v>
      </c>
      <c r="D20" s="62" t="n">
        <v>471.7</v>
      </c>
      <c r="E20" s="62" t="n">
        <v>36.2</v>
      </c>
    </row>
    <row r="21" customFormat="false" ht="15" hidden="false" customHeight="false" outlineLevel="0" collapsed="false">
      <c r="A21" s="60" t="s">
        <v>214</v>
      </c>
      <c r="B21" s="60" t="n">
        <v>17</v>
      </c>
      <c r="C21" s="61" t="n">
        <v>7133</v>
      </c>
      <c r="D21" s="62" t="n">
        <v>419.6</v>
      </c>
      <c r="E21" s="62" t="n">
        <v>32.2</v>
      </c>
    </row>
    <row r="22" customFormat="false" ht="15" hidden="false" customHeight="false" outlineLevel="0" collapsed="false">
      <c r="A22" s="63" t="s">
        <v>215</v>
      </c>
      <c r="B22" s="63" t="n">
        <v>36</v>
      </c>
      <c r="C22" s="64" t="n">
        <v>5202.7</v>
      </c>
      <c r="D22" s="65" t="n">
        <v>144.5</v>
      </c>
      <c r="E22" s="65" t="n">
        <v>11.1</v>
      </c>
    </row>
    <row r="23" customFormat="false" ht="15" hidden="false" customHeight="false" outlineLevel="0" collapsed="false">
      <c r="A23" s="63" t="s">
        <v>216</v>
      </c>
      <c r="B23" s="63" t="n">
        <v>19</v>
      </c>
      <c r="C23" s="64" t="n">
        <v>4680.8</v>
      </c>
      <c r="D23" s="65" t="n">
        <v>246.4</v>
      </c>
      <c r="E23" s="65" t="n">
        <v>18.9</v>
      </c>
    </row>
    <row r="24" customFormat="false" ht="15" hidden="false" customHeight="false" outlineLevel="0" collapsed="false">
      <c r="A24" s="63" t="s">
        <v>217</v>
      </c>
      <c r="B24" s="63" t="n">
        <v>22</v>
      </c>
      <c r="C24" s="64" t="n">
        <v>3426.1</v>
      </c>
      <c r="D24" s="65" t="n">
        <v>155.7</v>
      </c>
      <c r="E24" s="65" t="n">
        <v>12</v>
      </c>
    </row>
    <row r="26" customFormat="false" ht="15" hidden="false" customHeight="false" outlineLevel="0" collapsed="false">
      <c r="A26" s="59" t="s">
        <v>381</v>
      </c>
    </row>
    <row r="27" customFormat="false" ht="26.85" hidden="false" customHeight="false" outlineLevel="0" collapsed="false">
      <c r="A27" s="6" t="s">
        <v>161</v>
      </c>
      <c r="B27" s="6" t="s">
        <v>162</v>
      </c>
      <c r="C27" s="6" t="s">
        <v>163</v>
      </c>
      <c r="D27" s="6" t="s">
        <v>382</v>
      </c>
      <c r="E27" s="6" t="s">
        <v>383</v>
      </c>
      <c r="F27" s="6" t="s">
        <v>384</v>
      </c>
    </row>
    <row r="28" customFormat="false" ht="15" hidden="false" customHeight="false" outlineLevel="0" collapsed="false">
      <c r="A28" s="66" t="s">
        <v>174</v>
      </c>
      <c r="B28" s="67" t="n">
        <v>169751</v>
      </c>
      <c r="C28" s="67" t="n">
        <v>9364</v>
      </c>
      <c r="D28" s="68" t="n">
        <v>0</v>
      </c>
      <c r="E28" s="68" t="n">
        <v>0.96</v>
      </c>
      <c r="F28" s="69" t="n">
        <v>0.3</v>
      </c>
    </row>
    <row r="29" customFormat="false" ht="15" hidden="false" customHeight="false" outlineLevel="0" collapsed="false">
      <c r="A29" s="66" t="s">
        <v>43</v>
      </c>
      <c r="B29" s="67" t="n">
        <v>79971</v>
      </c>
      <c r="C29" s="67" t="n">
        <v>13462</v>
      </c>
      <c r="D29" s="68" t="n">
        <v>0</v>
      </c>
      <c r="E29" s="68" t="n">
        <v>0</v>
      </c>
      <c r="F29" s="69" t="n">
        <v>0</v>
      </c>
    </row>
    <row r="30" customFormat="false" ht="15" hidden="false" customHeight="false" outlineLevel="0" collapsed="false">
      <c r="A30" s="66" t="s">
        <v>175</v>
      </c>
      <c r="B30" s="67" t="n">
        <v>47002</v>
      </c>
      <c r="C30" s="67" t="n">
        <v>0</v>
      </c>
      <c r="D30" s="68" t="n">
        <v>0.305</v>
      </c>
      <c r="E30" s="68" t="n">
        <v>0.926</v>
      </c>
      <c r="F30" s="69" t="n">
        <v>1.2</v>
      </c>
    </row>
    <row r="31" customFormat="false" ht="15" hidden="false" customHeight="false" outlineLevel="0" collapsed="false">
      <c r="A31" s="66" t="s">
        <v>49</v>
      </c>
      <c r="B31" s="67" t="n">
        <v>27513</v>
      </c>
      <c r="C31" s="67" t="n">
        <v>0</v>
      </c>
      <c r="D31" s="68" t="n">
        <v>0</v>
      </c>
      <c r="E31" s="68" t="n">
        <v>0</v>
      </c>
      <c r="F31" s="69" t="n">
        <v>0</v>
      </c>
    </row>
    <row r="32" customFormat="false" ht="15" hidden="false" customHeight="false" outlineLevel="0" collapsed="false">
      <c r="A32" s="66" t="s">
        <v>45</v>
      </c>
      <c r="B32" s="67" t="n">
        <v>6328</v>
      </c>
      <c r="C32" s="67" t="n">
        <v>3920</v>
      </c>
      <c r="D32" s="68" t="n">
        <v>0</v>
      </c>
      <c r="E32" s="68" t="n">
        <v>0</v>
      </c>
      <c r="F32" s="69" t="n">
        <v>0</v>
      </c>
    </row>
    <row r="33" customFormat="false" ht="15" hidden="false" customHeight="false" outlineLevel="0" collapsed="false">
      <c r="A33" s="66" t="s">
        <v>178</v>
      </c>
      <c r="B33" s="67" t="n">
        <v>1361</v>
      </c>
      <c r="C33" s="67" t="n">
        <v>0</v>
      </c>
      <c r="D33" s="68" t="n">
        <v>0</v>
      </c>
      <c r="E33" s="68" t="n">
        <v>0.533</v>
      </c>
      <c r="F33" s="69" t="n">
        <v>1.9</v>
      </c>
    </row>
    <row r="35" customFormat="false" ht="15" hidden="false" customHeight="false" outlineLevel="0" collapsed="false">
      <c r="A35" s="70" t="s">
        <v>385</v>
      </c>
      <c r="B35" s="70"/>
      <c r="C35" s="70"/>
      <c r="D35" s="70"/>
      <c r="E35" s="70"/>
      <c r="F35" s="70"/>
    </row>
    <row r="36" customFormat="false" ht="15" hidden="false" customHeight="false" outlineLevel="0" collapsed="false">
      <c r="A36" s="6" t="s">
        <v>275</v>
      </c>
      <c r="B36" s="6" t="s">
        <v>386</v>
      </c>
      <c r="C36" s="6" t="s">
        <v>276</v>
      </c>
      <c r="D36" s="6" t="s">
        <v>132</v>
      </c>
      <c r="E36" s="6" t="s">
        <v>387</v>
      </c>
      <c r="F36" s="6" t="s">
        <v>75</v>
      </c>
    </row>
    <row r="37" customFormat="false" ht="15" hidden="false" customHeight="false" outlineLevel="0" collapsed="false">
      <c r="A37" s="63" t="s">
        <v>689</v>
      </c>
      <c r="B37" s="63" t="s">
        <v>215</v>
      </c>
      <c r="C37" s="63" t="s">
        <v>347</v>
      </c>
      <c r="D37" s="64" t="n">
        <v>0</v>
      </c>
      <c r="E37" s="65" t="n">
        <v>0</v>
      </c>
      <c r="F37" s="63" t="s">
        <v>389</v>
      </c>
    </row>
    <row r="38" customFormat="false" ht="15" hidden="false" customHeight="false" outlineLevel="0" collapsed="false">
      <c r="A38" s="77" t="s">
        <v>690</v>
      </c>
      <c r="B38" s="77" t="s">
        <v>215</v>
      </c>
      <c r="C38" s="77" t="s">
        <v>365</v>
      </c>
      <c r="D38" s="78" t="n">
        <v>0</v>
      </c>
      <c r="E38" s="79" t="n">
        <v>0</v>
      </c>
      <c r="F38" s="77" t="s">
        <v>531</v>
      </c>
    </row>
    <row r="39" customFormat="false" ht="15" hidden="false" customHeight="false" outlineLevel="0" collapsed="false">
      <c r="A39" s="63" t="s">
        <v>691</v>
      </c>
      <c r="B39" s="63" t="s">
        <v>215</v>
      </c>
      <c r="C39" s="63" t="s">
        <v>349</v>
      </c>
      <c r="D39" s="64" t="n">
        <v>0</v>
      </c>
      <c r="E39" s="65" t="n">
        <v>0</v>
      </c>
      <c r="F39" s="63" t="s">
        <v>389</v>
      </c>
    </row>
    <row r="40" customFormat="false" ht="15" hidden="false" customHeight="false" outlineLevel="0" collapsed="false">
      <c r="A40" s="77" t="s">
        <v>692</v>
      </c>
      <c r="B40" s="77" t="s">
        <v>213</v>
      </c>
      <c r="C40" s="77" t="s">
        <v>342</v>
      </c>
      <c r="D40" s="78" t="n">
        <v>0</v>
      </c>
      <c r="E40" s="79" t="n">
        <v>0</v>
      </c>
      <c r="F40" s="77" t="s">
        <v>531</v>
      </c>
    </row>
    <row r="41" customFormat="false" ht="15" hidden="false" customHeight="false" outlineLevel="0" collapsed="false">
      <c r="A41" s="77" t="s">
        <v>693</v>
      </c>
      <c r="B41" s="77" t="s">
        <v>214</v>
      </c>
      <c r="C41" s="77" t="s">
        <v>346</v>
      </c>
      <c r="D41" s="78" t="n">
        <v>0</v>
      </c>
      <c r="E41" s="79" t="n">
        <v>0</v>
      </c>
      <c r="F41" s="77" t="s">
        <v>531</v>
      </c>
    </row>
    <row r="42" customFormat="false" ht="15" hidden="false" customHeight="false" outlineLevel="0" collapsed="false">
      <c r="A42" s="60" t="s">
        <v>694</v>
      </c>
      <c r="B42" s="60" t="s">
        <v>215</v>
      </c>
      <c r="C42" s="60" t="s">
        <v>349</v>
      </c>
      <c r="D42" s="61" t="n">
        <v>5.8</v>
      </c>
      <c r="E42" s="62" t="n">
        <v>0.4</v>
      </c>
      <c r="F42" s="60" t="s">
        <v>391</v>
      </c>
    </row>
    <row r="43" customFormat="false" ht="15" hidden="false" customHeight="false" outlineLevel="0" collapsed="false">
      <c r="A43" s="60" t="s">
        <v>695</v>
      </c>
      <c r="B43" s="60" t="s">
        <v>217</v>
      </c>
      <c r="C43" s="60" t="s">
        <v>351</v>
      </c>
      <c r="D43" s="61" t="n">
        <v>12.6</v>
      </c>
      <c r="E43" s="62" t="n">
        <v>1</v>
      </c>
      <c r="F43" s="60" t="s">
        <v>391</v>
      </c>
    </row>
    <row r="44" customFormat="false" ht="15" hidden="false" customHeight="false" outlineLevel="0" collapsed="false">
      <c r="A44" s="60" t="s">
        <v>696</v>
      </c>
      <c r="B44" s="60" t="s">
        <v>214</v>
      </c>
      <c r="C44" s="60" t="s">
        <v>341</v>
      </c>
      <c r="D44" s="61" t="n">
        <v>28.6</v>
      </c>
      <c r="E44" s="62" t="n">
        <v>2.2</v>
      </c>
      <c r="F44" s="60" t="s">
        <v>391</v>
      </c>
    </row>
    <row r="45" customFormat="false" ht="15" hidden="false" customHeight="false" outlineLevel="0" collapsed="false">
      <c r="A45" s="60" t="s">
        <v>697</v>
      </c>
      <c r="B45" s="60" t="s">
        <v>217</v>
      </c>
      <c r="C45" s="60" t="s">
        <v>351</v>
      </c>
      <c r="D45" s="61" t="n">
        <v>48.8</v>
      </c>
      <c r="E45" s="62" t="n">
        <v>3.7</v>
      </c>
      <c r="F45" s="60" t="s">
        <v>391</v>
      </c>
    </row>
    <row r="46" customFormat="false" ht="15" hidden="false" customHeight="false" outlineLevel="0" collapsed="false">
      <c r="A46" s="60" t="s">
        <v>698</v>
      </c>
      <c r="B46" s="60" t="s">
        <v>217</v>
      </c>
      <c r="C46" s="60" t="s">
        <v>351</v>
      </c>
      <c r="D46" s="61" t="n">
        <v>61.1</v>
      </c>
      <c r="E46" s="62" t="n">
        <v>4.7</v>
      </c>
      <c r="F46" s="60" t="s">
        <v>391</v>
      </c>
    </row>
    <row r="47" customFormat="false" ht="15" hidden="false" customHeight="false" outlineLevel="0" collapsed="false">
      <c r="A47" s="60" t="s">
        <v>699</v>
      </c>
      <c r="B47" s="60" t="s">
        <v>215</v>
      </c>
      <c r="C47" s="60" t="s">
        <v>347</v>
      </c>
      <c r="D47" s="61" t="n">
        <v>63.4</v>
      </c>
      <c r="E47" s="62" t="n">
        <v>4.9</v>
      </c>
      <c r="F47" s="60" t="s">
        <v>391</v>
      </c>
    </row>
    <row r="48" customFormat="false" ht="15" hidden="false" customHeight="false" outlineLevel="0" collapsed="false">
      <c r="A48" s="60" t="s">
        <v>700</v>
      </c>
      <c r="B48" s="60" t="s">
        <v>217</v>
      </c>
      <c r="C48" s="60" t="s">
        <v>351</v>
      </c>
      <c r="D48" s="61" t="n">
        <v>72.1</v>
      </c>
      <c r="E48" s="62" t="n">
        <v>5.5</v>
      </c>
      <c r="F48" s="60" t="s">
        <v>391</v>
      </c>
    </row>
    <row r="49" customFormat="false" ht="15" hidden="false" customHeight="false" outlineLevel="0" collapsed="false">
      <c r="A49" s="60" t="s">
        <v>701</v>
      </c>
      <c r="B49" s="60" t="s">
        <v>213</v>
      </c>
      <c r="C49" s="60" t="s">
        <v>341</v>
      </c>
      <c r="D49" s="61" t="n">
        <v>75.5</v>
      </c>
      <c r="E49" s="62" t="n">
        <v>5.8</v>
      </c>
      <c r="F49" s="60" t="s">
        <v>391</v>
      </c>
    </row>
    <row r="50" customFormat="false" ht="15" hidden="false" customHeight="false" outlineLevel="0" collapsed="false">
      <c r="A50" s="60" t="s">
        <v>702</v>
      </c>
      <c r="B50" s="60" t="s">
        <v>217</v>
      </c>
      <c r="C50" s="60" t="s">
        <v>351</v>
      </c>
      <c r="D50" s="61" t="n">
        <v>94.9</v>
      </c>
      <c r="E50" s="62" t="n">
        <v>7.3</v>
      </c>
      <c r="F50" s="60" t="s">
        <v>391</v>
      </c>
    </row>
    <row r="51" customFormat="false" ht="15" hidden="false" customHeight="false" outlineLevel="0" collapsed="false">
      <c r="A51" s="60" t="s">
        <v>703</v>
      </c>
      <c r="B51" s="60" t="s">
        <v>215</v>
      </c>
      <c r="C51" s="60" t="s">
        <v>349</v>
      </c>
      <c r="D51" s="61" t="n">
        <v>108.7</v>
      </c>
      <c r="E51" s="62" t="n">
        <v>8.3</v>
      </c>
      <c r="F51" s="60" t="s">
        <v>391</v>
      </c>
    </row>
    <row r="52" customFormat="false" ht="15" hidden="false" customHeight="false" outlineLevel="0" collapsed="false">
      <c r="A52" s="60" t="s">
        <v>704</v>
      </c>
      <c r="B52" s="60" t="s">
        <v>217</v>
      </c>
      <c r="C52" s="60" t="s">
        <v>351</v>
      </c>
      <c r="D52" s="61" t="n">
        <v>115.3</v>
      </c>
      <c r="E52" s="62" t="n">
        <v>8.9</v>
      </c>
      <c r="F52" s="60" t="s">
        <v>391</v>
      </c>
    </row>
    <row r="53" customFormat="false" ht="15" hidden="false" customHeight="false" outlineLevel="0" collapsed="false">
      <c r="A53" s="60" t="s">
        <v>705</v>
      </c>
      <c r="B53" s="60" t="s">
        <v>215</v>
      </c>
      <c r="C53" s="60" t="s">
        <v>349</v>
      </c>
      <c r="D53" s="61" t="n">
        <v>120</v>
      </c>
      <c r="E53" s="62" t="n">
        <v>9.2</v>
      </c>
      <c r="F53" s="60" t="s">
        <v>391</v>
      </c>
    </row>
    <row r="54" customFormat="false" ht="15" hidden="false" customHeight="false" outlineLevel="0" collapsed="false">
      <c r="A54" s="60" t="s">
        <v>706</v>
      </c>
      <c r="B54" s="60" t="s">
        <v>217</v>
      </c>
      <c r="C54" s="60" t="s">
        <v>351</v>
      </c>
      <c r="D54" s="61" t="n">
        <v>122</v>
      </c>
      <c r="E54" s="62" t="n">
        <v>9.4</v>
      </c>
      <c r="F54" s="60" t="s">
        <v>391</v>
      </c>
    </row>
    <row r="55" customFormat="false" ht="15" hidden="false" customHeight="false" outlineLevel="0" collapsed="false">
      <c r="A55" s="60" t="s">
        <v>707</v>
      </c>
      <c r="B55" s="60" t="s">
        <v>215</v>
      </c>
      <c r="C55" s="60" t="s">
        <v>349</v>
      </c>
      <c r="D55" s="61" t="n">
        <v>122.5</v>
      </c>
      <c r="E55" s="62" t="n">
        <v>9.4</v>
      </c>
      <c r="F55" s="60" t="s">
        <v>391</v>
      </c>
    </row>
    <row r="56" customFormat="false" ht="15" hidden="false" customHeight="false" outlineLevel="0" collapsed="false">
      <c r="A56" s="60" t="s">
        <v>708</v>
      </c>
      <c r="B56" s="60" t="s">
        <v>215</v>
      </c>
      <c r="C56" s="60" t="s">
        <v>347</v>
      </c>
      <c r="D56" s="61" t="n">
        <v>125.1</v>
      </c>
      <c r="E56" s="62" t="n">
        <v>9.6</v>
      </c>
      <c r="F56" s="60" t="s">
        <v>391</v>
      </c>
    </row>
    <row r="57" customFormat="false" ht="15" hidden="false" customHeight="false" outlineLevel="0" collapsed="false">
      <c r="A57" s="60" t="s">
        <v>709</v>
      </c>
      <c r="B57" s="60" t="s">
        <v>215</v>
      </c>
      <c r="C57" s="60" t="s">
        <v>349</v>
      </c>
      <c r="D57" s="61" t="n">
        <v>126.5</v>
      </c>
      <c r="E57" s="62" t="n">
        <v>9.7</v>
      </c>
      <c r="F57" s="60" t="s">
        <v>391</v>
      </c>
    </row>
    <row r="58" customFormat="false" ht="15" hidden="false" customHeight="false" outlineLevel="0" collapsed="false">
      <c r="A58" s="60" t="s">
        <v>710</v>
      </c>
      <c r="B58" s="60" t="s">
        <v>215</v>
      </c>
      <c r="C58" s="60" t="s">
        <v>347</v>
      </c>
      <c r="D58" s="61" t="n">
        <v>128.2</v>
      </c>
      <c r="E58" s="62" t="n">
        <v>9.8</v>
      </c>
      <c r="F58" s="60" t="s">
        <v>391</v>
      </c>
    </row>
    <row r="59" customFormat="false" ht="15" hidden="false" customHeight="false" outlineLevel="0" collapsed="false">
      <c r="A59" s="60" t="s">
        <v>711</v>
      </c>
      <c r="B59" s="60" t="s">
        <v>215</v>
      </c>
      <c r="C59" s="60" t="s">
        <v>349</v>
      </c>
      <c r="D59" s="61" t="n">
        <v>128.6</v>
      </c>
      <c r="E59" s="62" t="n">
        <v>9.9</v>
      </c>
      <c r="F59" s="60" t="s">
        <v>391</v>
      </c>
    </row>
    <row r="60" customFormat="false" ht="15" hidden="false" customHeight="false" outlineLevel="0" collapsed="false">
      <c r="A60" s="60" t="s">
        <v>712</v>
      </c>
      <c r="B60" s="60" t="s">
        <v>217</v>
      </c>
      <c r="C60" s="60" t="s">
        <v>351</v>
      </c>
      <c r="D60" s="61" t="n">
        <v>130.5</v>
      </c>
      <c r="E60" s="62" t="n">
        <v>10</v>
      </c>
      <c r="F60" s="60" t="s">
        <v>391</v>
      </c>
    </row>
    <row r="61" customFormat="false" ht="15" hidden="false" customHeight="false" outlineLevel="0" collapsed="false">
      <c r="A61" s="60" t="s">
        <v>713</v>
      </c>
      <c r="B61" s="60" t="s">
        <v>215</v>
      </c>
      <c r="C61" s="60" t="s">
        <v>347</v>
      </c>
      <c r="D61" s="61" t="n">
        <v>132.9</v>
      </c>
      <c r="E61" s="62" t="n">
        <v>10.2</v>
      </c>
      <c r="F61" s="60" t="s">
        <v>391</v>
      </c>
    </row>
    <row r="62" customFormat="false" ht="15" hidden="false" customHeight="false" outlineLevel="0" collapsed="false">
      <c r="A62" s="60" t="s">
        <v>714</v>
      </c>
      <c r="B62" s="60" t="s">
        <v>215</v>
      </c>
      <c r="C62" s="60" t="s">
        <v>349</v>
      </c>
      <c r="D62" s="61" t="n">
        <v>132.9</v>
      </c>
      <c r="E62" s="62" t="n">
        <v>10.2</v>
      </c>
      <c r="F62" s="60" t="s">
        <v>391</v>
      </c>
    </row>
    <row r="63" customFormat="false" ht="15" hidden="false" customHeight="false" outlineLevel="0" collapsed="false">
      <c r="A63" s="60" t="s">
        <v>715</v>
      </c>
      <c r="B63" s="60" t="s">
        <v>215</v>
      </c>
      <c r="C63" s="60" t="s">
        <v>349</v>
      </c>
      <c r="D63" s="61" t="n">
        <v>133.7</v>
      </c>
      <c r="E63" s="62" t="n">
        <v>10.3</v>
      </c>
      <c r="F63" s="60" t="s">
        <v>391</v>
      </c>
    </row>
    <row r="64" customFormat="false" ht="15" hidden="false" customHeight="false" outlineLevel="0" collapsed="false">
      <c r="A64" s="60" t="s">
        <v>716</v>
      </c>
      <c r="B64" s="60" t="s">
        <v>215</v>
      </c>
      <c r="C64" s="60" t="s">
        <v>349</v>
      </c>
      <c r="D64" s="61" t="n">
        <v>135.5</v>
      </c>
      <c r="E64" s="62" t="n">
        <v>10.4</v>
      </c>
      <c r="F64" s="60" t="s">
        <v>391</v>
      </c>
    </row>
    <row r="65" customFormat="false" ht="15" hidden="false" customHeight="false" outlineLevel="0" collapsed="false">
      <c r="A65" s="60" t="s">
        <v>717</v>
      </c>
      <c r="B65" s="60" t="s">
        <v>217</v>
      </c>
      <c r="C65" s="60" t="s">
        <v>351</v>
      </c>
      <c r="D65" s="61" t="n">
        <v>136.4</v>
      </c>
      <c r="E65" s="62" t="n">
        <v>10.5</v>
      </c>
      <c r="F65" s="60" t="s">
        <v>391</v>
      </c>
    </row>
    <row r="66" customFormat="false" ht="15" hidden="false" customHeight="false" outlineLevel="0" collapsed="false">
      <c r="A66" s="60" t="s">
        <v>718</v>
      </c>
      <c r="B66" s="60" t="s">
        <v>215</v>
      </c>
      <c r="C66" s="60" t="s">
        <v>349</v>
      </c>
      <c r="D66" s="61" t="n">
        <v>141.2</v>
      </c>
      <c r="E66" s="62" t="n">
        <v>10.8</v>
      </c>
      <c r="F66" s="60" t="s">
        <v>391</v>
      </c>
    </row>
    <row r="67" customFormat="false" ht="15" hidden="false" customHeight="false" outlineLevel="0" collapsed="false">
      <c r="A67" s="60" t="s">
        <v>719</v>
      </c>
      <c r="B67" s="60" t="s">
        <v>217</v>
      </c>
      <c r="C67" s="60" t="s">
        <v>351</v>
      </c>
      <c r="D67" s="61" t="n">
        <v>142.8</v>
      </c>
      <c r="E67" s="62" t="n">
        <v>11</v>
      </c>
      <c r="F67" s="60" t="s">
        <v>391</v>
      </c>
    </row>
    <row r="68" customFormat="false" ht="15" hidden="false" customHeight="false" outlineLevel="0" collapsed="false">
      <c r="A68" s="60" t="s">
        <v>720</v>
      </c>
      <c r="B68" s="60" t="s">
        <v>217</v>
      </c>
      <c r="C68" s="60" t="s">
        <v>351</v>
      </c>
      <c r="D68" s="61" t="n">
        <v>143.8</v>
      </c>
      <c r="E68" s="62" t="n">
        <v>11</v>
      </c>
      <c r="F68" s="60" t="s">
        <v>391</v>
      </c>
    </row>
    <row r="69" customFormat="false" ht="15" hidden="false" customHeight="false" outlineLevel="0" collapsed="false">
      <c r="A69" s="60" t="s">
        <v>721</v>
      </c>
      <c r="B69" s="60" t="s">
        <v>215</v>
      </c>
      <c r="C69" s="60" t="s">
        <v>349</v>
      </c>
      <c r="D69" s="61" t="n">
        <v>150.6</v>
      </c>
      <c r="E69" s="62" t="n">
        <v>11.6</v>
      </c>
      <c r="F69" s="60" t="s">
        <v>391</v>
      </c>
    </row>
    <row r="70" customFormat="false" ht="15" hidden="false" customHeight="false" outlineLevel="0" collapsed="false">
      <c r="A70" s="60" t="s">
        <v>722</v>
      </c>
      <c r="B70" s="60" t="s">
        <v>215</v>
      </c>
      <c r="C70" s="60" t="s">
        <v>349</v>
      </c>
      <c r="D70" s="61" t="n">
        <v>156.6</v>
      </c>
      <c r="E70" s="62" t="n">
        <v>12</v>
      </c>
      <c r="F70" s="60" t="s">
        <v>391</v>
      </c>
    </row>
    <row r="71" customFormat="false" ht="15" hidden="false" customHeight="false" outlineLevel="0" collapsed="false">
      <c r="A71" s="60" t="s">
        <v>723</v>
      </c>
      <c r="B71" s="60" t="s">
        <v>215</v>
      </c>
      <c r="C71" s="60" t="s">
        <v>349</v>
      </c>
      <c r="D71" s="61" t="n">
        <v>157.2</v>
      </c>
      <c r="E71" s="62" t="n">
        <v>12.1</v>
      </c>
      <c r="F71" s="60" t="s">
        <v>391</v>
      </c>
    </row>
    <row r="72" customFormat="false" ht="15" hidden="false" customHeight="false" outlineLevel="0" collapsed="false">
      <c r="A72" s="60" t="s">
        <v>724</v>
      </c>
      <c r="B72" s="60" t="s">
        <v>215</v>
      </c>
      <c r="C72" s="60" t="s">
        <v>347</v>
      </c>
      <c r="D72" s="61" t="n">
        <v>157.3</v>
      </c>
      <c r="E72" s="62" t="n">
        <v>12.1</v>
      </c>
      <c r="F72" s="60" t="s">
        <v>391</v>
      </c>
    </row>
    <row r="73" customFormat="false" ht="15" hidden="false" customHeight="false" outlineLevel="0" collapsed="false">
      <c r="A73" s="60" t="s">
        <v>725</v>
      </c>
      <c r="B73" s="60" t="s">
        <v>215</v>
      </c>
      <c r="C73" s="60" t="s">
        <v>349</v>
      </c>
      <c r="D73" s="61" t="n">
        <v>160.6</v>
      </c>
      <c r="E73" s="62" t="n">
        <v>12.3</v>
      </c>
      <c r="F73" s="60" t="s">
        <v>391</v>
      </c>
    </row>
    <row r="74" customFormat="false" ht="15" hidden="false" customHeight="false" outlineLevel="0" collapsed="false">
      <c r="A74" s="60" t="s">
        <v>726</v>
      </c>
      <c r="B74" s="60" t="s">
        <v>217</v>
      </c>
      <c r="C74" s="60" t="s">
        <v>351</v>
      </c>
      <c r="D74" s="61" t="n">
        <v>161.6</v>
      </c>
      <c r="E74" s="62" t="n">
        <v>12.4</v>
      </c>
      <c r="F74" s="60" t="s">
        <v>391</v>
      </c>
    </row>
    <row r="75" customFormat="false" ht="15" hidden="false" customHeight="false" outlineLevel="0" collapsed="false">
      <c r="A75" s="60" t="s">
        <v>727</v>
      </c>
      <c r="B75" s="60" t="s">
        <v>216</v>
      </c>
      <c r="C75" s="60" t="s">
        <v>343</v>
      </c>
      <c r="D75" s="61" t="n">
        <v>165.7</v>
      </c>
      <c r="E75" s="62" t="n">
        <v>12.7</v>
      </c>
      <c r="F75" s="60" t="s">
        <v>391</v>
      </c>
    </row>
    <row r="76" customFormat="false" ht="15" hidden="false" customHeight="false" outlineLevel="0" collapsed="false">
      <c r="A76" s="60" t="s">
        <v>728</v>
      </c>
      <c r="B76" s="60" t="s">
        <v>215</v>
      </c>
      <c r="C76" s="60" t="s">
        <v>349</v>
      </c>
      <c r="D76" s="61" t="n">
        <v>169.6</v>
      </c>
      <c r="E76" s="62" t="n">
        <v>13</v>
      </c>
      <c r="F76" s="60" t="s">
        <v>391</v>
      </c>
    </row>
    <row r="77" customFormat="false" ht="15" hidden="false" customHeight="false" outlineLevel="0" collapsed="false">
      <c r="A77" s="60" t="s">
        <v>729</v>
      </c>
      <c r="B77" s="60" t="s">
        <v>217</v>
      </c>
      <c r="C77" s="60" t="s">
        <v>351</v>
      </c>
      <c r="D77" s="61" t="n">
        <v>173.1</v>
      </c>
      <c r="E77" s="62" t="n">
        <v>13.3</v>
      </c>
      <c r="F77" s="60" t="s">
        <v>391</v>
      </c>
    </row>
    <row r="78" customFormat="false" ht="15" hidden="false" customHeight="false" outlineLevel="0" collapsed="false">
      <c r="A78" s="60" t="s">
        <v>730</v>
      </c>
      <c r="B78" s="60" t="s">
        <v>215</v>
      </c>
      <c r="C78" s="60" t="s">
        <v>347</v>
      </c>
      <c r="D78" s="61" t="n">
        <v>174.3</v>
      </c>
      <c r="E78" s="62" t="n">
        <v>13.4</v>
      </c>
      <c r="F78" s="60" t="s">
        <v>391</v>
      </c>
    </row>
    <row r="79" customFormat="false" ht="15" hidden="false" customHeight="false" outlineLevel="0" collapsed="false">
      <c r="A79" s="60" t="s">
        <v>731</v>
      </c>
      <c r="B79" s="60" t="s">
        <v>215</v>
      </c>
      <c r="C79" s="60" t="s">
        <v>349</v>
      </c>
      <c r="D79" s="61" t="n">
        <v>174.5</v>
      </c>
      <c r="E79" s="62" t="n">
        <v>13.4</v>
      </c>
      <c r="F79" s="60" t="s">
        <v>391</v>
      </c>
    </row>
    <row r="80" customFormat="false" ht="15" hidden="false" customHeight="false" outlineLevel="0" collapsed="false">
      <c r="A80" s="60" t="s">
        <v>732</v>
      </c>
      <c r="B80" s="60" t="s">
        <v>215</v>
      </c>
      <c r="C80" s="60" t="s">
        <v>347</v>
      </c>
      <c r="D80" s="61" t="n">
        <v>178.4</v>
      </c>
      <c r="E80" s="62" t="n">
        <v>13.7</v>
      </c>
      <c r="F80" s="60" t="s">
        <v>391</v>
      </c>
    </row>
    <row r="81" customFormat="false" ht="15" hidden="false" customHeight="false" outlineLevel="0" collapsed="false">
      <c r="A81" s="60" t="s">
        <v>733</v>
      </c>
      <c r="B81" s="60" t="s">
        <v>212</v>
      </c>
      <c r="C81" s="60" t="s">
        <v>343</v>
      </c>
      <c r="D81" s="61" t="n">
        <v>182</v>
      </c>
      <c r="E81" s="62" t="n">
        <v>14</v>
      </c>
      <c r="F81" s="60" t="s">
        <v>391</v>
      </c>
    </row>
    <row r="82" customFormat="false" ht="15" hidden="false" customHeight="false" outlineLevel="0" collapsed="false">
      <c r="A82" s="60" t="s">
        <v>734</v>
      </c>
      <c r="B82" s="60" t="s">
        <v>215</v>
      </c>
      <c r="C82" s="60" t="s">
        <v>347</v>
      </c>
      <c r="D82" s="61" t="n">
        <v>185.3</v>
      </c>
      <c r="E82" s="62" t="n">
        <v>14.2</v>
      </c>
      <c r="F82" s="60" t="s">
        <v>391</v>
      </c>
    </row>
    <row r="83" customFormat="false" ht="15" hidden="false" customHeight="false" outlineLevel="0" collapsed="false">
      <c r="A83" s="60" t="s">
        <v>735</v>
      </c>
      <c r="B83" s="60" t="s">
        <v>215</v>
      </c>
      <c r="C83" s="60" t="s">
        <v>347</v>
      </c>
      <c r="D83" s="61" t="n">
        <v>186.7</v>
      </c>
      <c r="E83" s="62" t="n">
        <v>14.3</v>
      </c>
      <c r="F83" s="60" t="s">
        <v>391</v>
      </c>
    </row>
    <row r="84" customFormat="false" ht="15" hidden="false" customHeight="false" outlineLevel="0" collapsed="false">
      <c r="A84" s="60" t="s">
        <v>736</v>
      </c>
      <c r="B84" s="60" t="s">
        <v>215</v>
      </c>
      <c r="C84" s="60" t="s">
        <v>349</v>
      </c>
      <c r="D84" s="61" t="n">
        <v>188.9</v>
      </c>
      <c r="E84" s="62" t="n">
        <v>14.5</v>
      </c>
      <c r="F84" s="60" t="s">
        <v>391</v>
      </c>
    </row>
    <row r="85" customFormat="false" ht="15" hidden="false" customHeight="false" outlineLevel="0" collapsed="false">
      <c r="A85" s="60" t="s">
        <v>737</v>
      </c>
      <c r="B85" s="60" t="s">
        <v>217</v>
      </c>
      <c r="C85" s="60" t="s">
        <v>351</v>
      </c>
      <c r="D85" s="61" t="n">
        <v>190.3</v>
      </c>
      <c r="E85" s="62" t="n">
        <v>14.6</v>
      </c>
      <c r="F85" s="60" t="s">
        <v>391</v>
      </c>
    </row>
    <row r="86" customFormat="false" ht="15" hidden="false" customHeight="false" outlineLevel="0" collapsed="false">
      <c r="A86" s="60" t="s">
        <v>738</v>
      </c>
      <c r="B86" s="60" t="s">
        <v>215</v>
      </c>
      <c r="C86" s="60" t="s">
        <v>347</v>
      </c>
      <c r="D86" s="61" t="n">
        <v>191.9</v>
      </c>
      <c r="E86" s="62" t="n">
        <v>14.7</v>
      </c>
      <c r="F86" s="60" t="s">
        <v>391</v>
      </c>
    </row>
    <row r="87" customFormat="false" ht="15" hidden="false" customHeight="false" outlineLevel="0" collapsed="false">
      <c r="A87" s="60" t="s">
        <v>739</v>
      </c>
      <c r="B87" s="60" t="s">
        <v>217</v>
      </c>
      <c r="C87" s="60" t="s">
        <v>351</v>
      </c>
      <c r="D87" s="61" t="n">
        <v>203.3</v>
      </c>
      <c r="E87" s="62" t="n">
        <v>15.6</v>
      </c>
      <c r="F87" s="60" t="s">
        <v>391</v>
      </c>
    </row>
    <row r="88" customFormat="false" ht="15" hidden="false" customHeight="false" outlineLevel="0" collapsed="false">
      <c r="A88" s="60" t="s">
        <v>740</v>
      </c>
      <c r="B88" s="60" t="s">
        <v>215</v>
      </c>
      <c r="C88" s="60" t="s">
        <v>349</v>
      </c>
      <c r="D88" s="61" t="n">
        <v>204.4</v>
      </c>
      <c r="E88" s="62" t="n">
        <v>15.7</v>
      </c>
      <c r="F88" s="60" t="s">
        <v>391</v>
      </c>
    </row>
    <row r="89" customFormat="false" ht="15" hidden="false" customHeight="false" outlineLevel="0" collapsed="false">
      <c r="A89" s="60" t="s">
        <v>741</v>
      </c>
      <c r="B89" s="60" t="s">
        <v>217</v>
      </c>
      <c r="C89" s="60" t="s">
        <v>351</v>
      </c>
      <c r="D89" s="61" t="n">
        <v>204.4</v>
      </c>
      <c r="E89" s="62" t="n">
        <v>15.7</v>
      </c>
      <c r="F89" s="60" t="s">
        <v>391</v>
      </c>
    </row>
    <row r="90" customFormat="false" ht="15" hidden="false" customHeight="false" outlineLevel="0" collapsed="false">
      <c r="A90" s="60" t="s">
        <v>742</v>
      </c>
      <c r="B90" s="60" t="s">
        <v>217</v>
      </c>
      <c r="C90" s="60" t="s">
        <v>351</v>
      </c>
      <c r="D90" s="61" t="n">
        <v>206.6</v>
      </c>
      <c r="E90" s="62" t="n">
        <v>15.9</v>
      </c>
      <c r="F90" s="60" t="s">
        <v>391</v>
      </c>
    </row>
    <row r="91" customFormat="false" ht="15" hidden="false" customHeight="false" outlineLevel="0" collapsed="false">
      <c r="A91" s="60" t="s">
        <v>743</v>
      </c>
      <c r="B91" s="60" t="s">
        <v>217</v>
      </c>
      <c r="C91" s="60" t="s">
        <v>351</v>
      </c>
      <c r="D91" s="61" t="n">
        <v>212.6</v>
      </c>
      <c r="E91" s="62" t="n">
        <v>16.3</v>
      </c>
      <c r="F91" s="60" t="s">
        <v>391</v>
      </c>
    </row>
    <row r="92" customFormat="false" ht="15" hidden="false" customHeight="false" outlineLevel="0" collapsed="false">
      <c r="A92" s="60" t="s">
        <v>744</v>
      </c>
      <c r="B92" s="60" t="s">
        <v>215</v>
      </c>
      <c r="C92" s="60" t="s">
        <v>347</v>
      </c>
      <c r="D92" s="61" t="n">
        <v>214.2</v>
      </c>
      <c r="E92" s="62" t="n">
        <v>16.4</v>
      </c>
      <c r="F92" s="60" t="s">
        <v>391</v>
      </c>
    </row>
    <row r="93" customFormat="false" ht="15" hidden="false" customHeight="false" outlineLevel="0" collapsed="false">
      <c r="A93" s="60" t="s">
        <v>745</v>
      </c>
      <c r="B93" s="60" t="s">
        <v>216</v>
      </c>
      <c r="C93" s="60" t="s">
        <v>344</v>
      </c>
      <c r="D93" s="61" t="n">
        <v>216.3</v>
      </c>
      <c r="E93" s="62" t="n">
        <v>16.6</v>
      </c>
      <c r="F93" s="60" t="s">
        <v>391</v>
      </c>
    </row>
    <row r="94" customFormat="false" ht="15" hidden="false" customHeight="false" outlineLevel="0" collapsed="false">
      <c r="A94" s="60" t="s">
        <v>746</v>
      </c>
      <c r="B94" s="60" t="s">
        <v>215</v>
      </c>
      <c r="C94" s="60" t="s">
        <v>349</v>
      </c>
      <c r="D94" s="61" t="n">
        <v>217.9</v>
      </c>
      <c r="E94" s="62" t="n">
        <v>16.7</v>
      </c>
      <c r="F94" s="60" t="s">
        <v>391</v>
      </c>
    </row>
    <row r="95" customFormat="false" ht="15" hidden="false" customHeight="false" outlineLevel="0" collapsed="false">
      <c r="A95" s="60" t="s">
        <v>747</v>
      </c>
      <c r="B95" s="60" t="s">
        <v>215</v>
      </c>
      <c r="C95" s="60" t="s">
        <v>347</v>
      </c>
      <c r="D95" s="61" t="n">
        <v>226.3</v>
      </c>
      <c r="E95" s="62" t="n">
        <v>17.4</v>
      </c>
      <c r="F95" s="60" t="s">
        <v>391</v>
      </c>
    </row>
    <row r="96" customFormat="false" ht="15" hidden="false" customHeight="false" outlineLevel="0" collapsed="false">
      <c r="A96" s="60" t="s">
        <v>748</v>
      </c>
      <c r="B96" s="60" t="s">
        <v>217</v>
      </c>
      <c r="C96" s="60" t="s">
        <v>351</v>
      </c>
      <c r="D96" s="61" t="n">
        <v>236.9</v>
      </c>
      <c r="E96" s="62" t="n">
        <v>18.2</v>
      </c>
      <c r="F96" s="60" t="s">
        <v>391</v>
      </c>
    </row>
    <row r="97" customFormat="false" ht="15" hidden="false" customHeight="false" outlineLevel="0" collapsed="false">
      <c r="A97" s="60" t="s">
        <v>749</v>
      </c>
      <c r="B97" s="60" t="s">
        <v>216</v>
      </c>
      <c r="C97" s="60" t="s">
        <v>343</v>
      </c>
      <c r="D97" s="61" t="n">
        <v>238.8</v>
      </c>
      <c r="E97" s="62" t="n">
        <v>18.3</v>
      </c>
      <c r="F97" s="60" t="s">
        <v>391</v>
      </c>
    </row>
    <row r="98" customFormat="false" ht="15" hidden="false" customHeight="false" outlineLevel="0" collapsed="false">
      <c r="A98" s="60" t="s">
        <v>750</v>
      </c>
      <c r="B98" s="60" t="s">
        <v>217</v>
      </c>
      <c r="C98" s="60" t="s">
        <v>351</v>
      </c>
      <c r="D98" s="61" t="n">
        <v>241.1</v>
      </c>
      <c r="E98" s="62" t="n">
        <v>18.5</v>
      </c>
      <c r="F98" s="60" t="s">
        <v>391</v>
      </c>
    </row>
    <row r="99" customFormat="false" ht="15" hidden="false" customHeight="false" outlineLevel="0" collapsed="false">
      <c r="A99" s="60" t="s">
        <v>751</v>
      </c>
      <c r="B99" s="60" t="s">
        <v>216</v>
      </c>
      <c r="C99" s="60" t="s">
        <v>343</v>
      </c>
      <c r="D99" s="61" t="n">
        <v>243.4</v>
      </c>
      <c r="E99" s="62" t="n">
        <v>18.7</v>
      </c>
      <c r="F99" s="60" t="s">
        <v>391</v>
      </c>
    </row>
    <row r="100" customFormat="false" ht="15" hidden="false" customHeight="false" outlineLevel="0" collapsed="false">
      <c r="A100" s="60" t="s">
        <v>752</v>
      </c>
      <c r="B100" s="60" t="s">
        <v>214</v>
      </c>
      <c r="C100" s="60" t="s">
        <v>344</v>
      </c>
      <c r="D100" s="61" t="n">
        <v>244.9</v>
      </c>
      <c r="E100" s="62" t="n">
        <v>18.8</v>
      </c>
      <c r="F100" s="60" t="s">
        <v>391</v>
      </c>
    </row>
    <row r="101" customFormat="false" ht="15" hidden="false" customHeight="false" outlineLevel="0" collapsed="false">
      <c r="A101" s="60" t="s">
        <v>753</v>
      </c>
      <c r="B101" s="60" t="s">
        <v>215</v>
      </c>
      <c r="C101" s="60" t="s">
        <v>349</v>
      </c>
      <c r="D101" s="61" t="n">
        <v>251.2</v>
      </c>
      <c r="E101" s="62" t="n">
        <v>19.3</v>
      </c>
      <c r="F101" s="60" t="s">
        <v>391</v>
      </c>
    </row>
    <row r="102" customFormat="false" ht="15" hidden="false" customHeight="false" outlineLevel="0" collapsed="false">
      <c r="A102" s="60" t="s">
        <v>754</v>
      </c>
      <c r="B102" s="60" t="s">
        <v>217</v>
      </c>
      <c r="C102" s="60" t="s">
        <v>351</v>
      </c>
      <c r="D102" s="61" t="n">
        <v>251.5</v>
      </c>
      <c r="E102" s="62" t="n">
        <v>19.3</v>
      </c>
      <c r="F102" s="60" t="s">
        <v>391</v>
      </c>
    </row>
    <row r="103" customFormat="false" ht="15" hidden="false" customHeight="false" outlineLevel="0" collapsed="false">
      <c r="A103" s="60" t="s">
        <v>755</v>
      </c>
      <c r="B103" s="60" t="s">
        <v>215</v>
      </c>
      <c r="C103" s="60" t="s">
        <v>347</v>
      </c>
      <c r="D103" s="61" t="n">
        <v>251.8</v>
      </c>
      <c r="E103" s="62" t="n">
        <v>19.3</v>
      </c>
      <c r="F103" s="60" t="s">
        <v>391</v>
      </c>
    </row>
    <row r="104" customFormat="false" ht="15" hidden="false" customHeight="false" outlineLevel="0" collapsed="false">
      <c r="A104" s="60" t="s">
        <v>756</v>
      </c>
      <c r="B104" s="60" t="s">
        <v>216</v>
      </c>
      <c r="C104" s="60" t="s">
        <v>343</v>
      </c>
      <c r="D104" s="61" t="n">
        <v>254.4</v>
      </c>
      <c r="E104" s="62" t="n">
        <v>19.5</v>
      </c>
      <c r="F104" s="60" t="s">
        <v>391</v>
      </c>
    </row>
    <row r="105" customFormat="false" ht="15" hidden="false" customHeight="false" outlineLevel="0" collapsed="false">
      <c r="A105" s="60" t="s">
        <v>757</v>
      </c>
      <c r="B105" s="60" t="s">
        <v>217</v>
      </c>
      <c r="C105" s="60" t="s">
        <v>351</v>
      </c>
      <c r="D105" s="61" t="n">
        <v>264.4</v>
      </c>
      <c r="E105" s="62" t="n">
        <v>20.3</v>
      </c>
      <c r="F105" s="60" t="s">
        <v>391</v>
      </c>
    </row>
    <row r="106" customFormat="false" ht="15" hidden="false" customHeight="false" outlineLevel="0" collapsed="false">
      <c r="A106" s="60" t="s">
        <v>758</v>
      </c>
      <c r="B106" s="60" t="s">
        <v>216</v>
      </c>
      <c r="C106" s="60" t="s">
        <v>343</v>
      </c>
      <c r="D106" s="61" t="n">
        <v>268.1</v>
      </c>
      <c r="E106" s="62" t="n">
        <v>20.6</v>
      </c>
      <c r="F106" s="60" t="s">
        <v>391</v>
      </c>
    </row>
    <row r="107" customFormat="false" ht="15" hidden="false" customHeight="false" outlineLevel="0" collapsed="false">
      <c r="A107" s="60" t="s">
        <v>759</v>
      </c>
      <c r="B107" s="60" t="s">
        <v>216</v>
      </c>
      <c r="C107" s="60" t="s">
        <v>343</v>
      </c>
      <c r="D107" s="61" t="n">
        <v>273.3</v>
      </c>
      <c r="E107" s="62" t="n">
        <v>21</v>
      </c>
      <c r="F107" s="60" t="s">
        <v>391</v>
      </c>
    </row>
    <row r="108" customFormat="false" ht="15" hidden="false" customHeight="false" outlineLevel="0" collapsed="false">
      <c r="A108" s="60" t="s">
        <v>760</v>
      </c>
      <c r="B108" s="60" t="s">
        <v>216</v>
      </c>
      <c r="C108" s="60" t="s">
        <v>343</v>
      </c>
      <c r="D108" s="61" t="n">
        <v>275</v>
      </c>
      <c r="E108" s="62" t="n">
        <v>21.1</v>
      </c>
      <c r="F108" s="60" t="s">
        <v>391</v>
      </c>
    </row>
    <row r="109" customFormat="false" ht="15" hidden="false" customHeight="false" outlineLevel="0" collapsed="false">
      <c r="A109" s="60" t="s">
        <v>761</v>
      </c>
      <c r="B109" s="60" t="s">
        <v>216</v>
      </c>
      <c r="C109" s="60" t="s">
        <v>343</v>
      </c>
      <c r="D109" s="61" t="n">
        <v>276.9</v>
      </c>
      <c r="E109" s="62" t="n">
        <v>21.3</v>
      </c>
      <c r="F109" s="60" t="s">
        <v>391</v>
      </c>
    </row>
    <row r="110" customFormat="false" ht="15" hidden="false" customHeight="false" outlineLevel="0" collapsed="false">
      <c r="A110" s="60" t="s">
        <v>762</v>
      </c>
      <c r="B110" s="60" t="s">
        <v>214</v>
      </c>
      <c r="C110" s="60" t="s">
        <v>341</v>
      </c>
      <c r="D110" s="61" t="n">
        <v>279.1</v>
      </c>
      <c r="E110" s="62" t="n">
        <v>21.4</v>
      </c>
      <c r="F110" s="60" t="s">
        <v>391</v>
      </c>
    </row>
    <row r="111" customFormat="false" ht="15" hidden="false" customHeight="false" outlineLevel="0" collapsed="false">
      <c r="A111" s="60" t="s">
        <v>763</v>
      </c>
      <c r="B111" s="60" t="s">
        <v>216</v>
      </c>
      <c r="C111" s="60" t="s">
        <v>343</v>
      </c>
      <c r="D111" s="61" t="n">
        <v>282.7</v>
      </c>
      <c r="E111" s="62" t="n">
        <v>21.7</v>
      </c>
      <c r="F111" s="60" t="s">
        <v>391</v>
      </c>
    </row>
    <row r="112" customFormat="false" ht="15" hidden="false" customHeight="false" outlineLevel="0" collapsed="false">
      <c r="A112" s="60" t="s">
        <v>764</v>
      </c>
      <c r="B112" s="60" t="s">
        <v>216</v>
      </c>
      <c r="C112" s="60" t="s">
        <v>343</v>
      </c>
      <c r="D112" s="61" t="n">
        <v>288</v>
      </c>
      <c r="E112" s="62" t="n">
        <v>22.1</v>
      </c>
      <c r="F112" s="60" t="s">
        <v>391</v>
      </c>
    </row>
    <row r="113" customFormat="false" ht="15" hidden="false" customHeight="false" outlineLevel="0" collapsed="false">
      <c r="A113" s="60" t="s">
        <v>765</v>
      </c>
      <c r="B113" s="60" t="s">
        <v>216</v>
      </c>
      <c r="C113" s="60" t="s">
        <v>343</v>
      </c>
      <c r="D113" s="61" t="n">
        <v>290.4</v>
      </c>
      <c r="E113" s="62" t="n">
        <v>22.3</v>
      </c>
      <c r="F113" s="60" t="s">
        <v>391</v>
      </c>
    </row>
    <row r="114" customFormat="false" ht="15" hidden="false" customHeight="false" outlineLevel="0" collapsed="false">
      <c r="A114" s="60" t="s">
        <v>766</v>
      </c>
      <c r="B114" s="60" t="s">
        <v>216</v>
      </c>
      <c r="C114" s="60" t="s">
        <v>343</v>
      </c>
      <c r="D114" s="61" t="n">
        <v>300.3</v>
      </c>
      <c r="E114" s="62" t="n">
        <v>23.1</v>
      </c>
      <c r="F114" s="60" t="s">
        <v>391</v>
      </c>
    </row>
    <row r="115" customFormat="false" ht="15" hidden="false" customHeight="false" outlineLevel="0" collapsed="false">
      <c r="A115" s="60" t="s">
        <v>767</v>
      </c>
      <c r="B115" s="60" t="s">
        <v>216</v>
      </c>
      <c r="C115" s="60" t="s">
        <v>343</v>
      </c>
      <c r="D115" s="61" t="n">
        <v>301.3</v>
      </c>
      <c r="E115" s="62" t="n">
        <v>23.1</v>
      </c>
      <c r="F115" s="60" t="s">
        <v>391</v>
      </c>
    </row>
    <row r="116" customFormat="false" ht="15" hidden="false" customHeight="false" outlineLevel="0" collapsed="false">
      <c r="A116" s="60" t="s">
        <v>768</v>
      </c>
      <c r="B116" s="60" t="s">
        <v>214</v>
      </c>
      <c r="C116" s="60" t="s">
        <v>343</v>
      </c>
      <c r="D116" s="61" t="n">
        <v>304</v>
      </c>
      <c r="E116" s="62" t="n">
        <v>23.3</v>
      </c>
      <c r="F116" s="60" t="s">
        <v>391</v>
      </c>
    </row>
    <row r="117" customFormat="false" ht="15" hidden="false" customHeight="false" outlineLevel="0" collapsed="false">
      <c r="A117" s="60" t="s">
        <v>769</v>
      </c>
      <c r="B117" s="60" t="s">
        <v>214</v>
      </c>
      <c r="C117" s="60" t="s">
        <v>341</v>
      </c>
      <c r="D117" s="61" t="n">
        <v>311.9</v>
      </c>
      <c r="E117" s="62" t="n">
        <v>23.9</v>
      </c>
      <c r="F117" s="60" t="s">
        <v>391</v>
      </c>
    </row>
    <row r="118" customFormat="false" ht="15" hidden="false" customHeight="false" outlineLevel="0" collapsed="false">
      <c r="A118" s="60" t="s">
        <v>770</v>
      </c>
      <c r="B118" s="60" t="s">
        <v>216</v>
      </c>
      <c r="C118" s="60" t="s">
        <v>343</v>
      </c>
      <c r="D118" s="61" t="n">
        <v>317.3</v>
      </c>
      <c r="E118" s="62" t="n">
        <v>24.4</v>
      </c>
      <c r="F118" s="60" t="s">
        <v>391</v>
      </c>
    </row>
    <row r="119" customFormat="false" ht="15" hidden="false" customHeight="false" outlineLevel="0" collapsed="false">
      <c r="A119" s="60" t="s">
        <v>771</v>
      </c>
      <c r="B119" s="60" t="s">
        <v>214</v>
      </c>
      <c r="C119" s="60" t="s">
        <v>341</v>
      </c>
      <c r="D119" s="61" t="n">
        <v>320.6</v>
      </c>
      <c r="E119" s="62" t="n">
        <v>24.6</v>
      </c>
      <c r="F119" s="60" t="s">
        <v>391</v>
      </c>
    </row>
    <row r="120" customFormat="false" ht="15" hidden="false" customHeight="false" outlineLevel="0" collapsed="false">
      <c r="A120" s="60" t="s">
        <v>772</v>
      </c>
      <c r="B120" s="60" t="s">
        <v>213</v>
      </c>
      <c r="C120" s="60" t="s">
        <v>345</v>
      </c>
      <c r="D120" s="61" t="n">
        <v>323.8</v>
      </c>
      <c r="E120" s="62" t="n">
        <v>24.9</v>
      </c>
      <c r="F120" s="60" t="s">
        <v>391</v>
      </c>
    </row>
    <row r="121" customFormat="false" ht="15" hidden="false" customHeight="false" outlineLevel="0" collapsed="false">
      <c r="A121" s="71" t="s">
        <v>773</v>
      </c>
      <c r="B121" s="71" t="s">
        <v>212</v>
      </c>
      <c r="C121" s="71" t="s">
        <v>343</v>
      </c>
      <c r="D121" s="72" t="n">
        <v>354.1</v>
      </c>
      <c r="E121" s="73" t="n">
        <v>27.2</v>
      </c>
      <c r="F121" s="71" t="s">
        <v>470</v>
      </c>
    </row>
    <row r="122" customFormat="false" ht="15" hidden="false" customHeight="false" outlineLevel="0" collapsed="false">
      <c r="A122" s="71" t="s">
        <v>774</v>
      </c>
      <c r="B122" s="71" t="s">
        <v>213</v>
      </c>
      <c r="C122" s="71" t="s">
        <v>341</v>
      </c>
      <c r="D122" s="72" t="n">
        <v>360.7</v>
      </c>
      <c r="E122" s="73" t="n">
        <v>27.7</v>
      </c>
      <c r="F122" s="71" t="s">
        <v>470</v>
      </c>
    </row>
    <row r="123" customFormat="false" ht="15" hidden="false" customHeight="false" outlineLevel="0" collapsed="false">
      <c r="A123" s="71" t="s">
        <v>775</v>
      </c>
      <c r="B123" s="71" t="s">
        <v>216</v>
      </c>
      <c r="C123" s="71" t="s">
        <v>343</v>
      </c>
      <c r="D123" s="72" t="n">
        <v>364.3</v>
      </c>
      <c r="E123" s="73" t="n">
        <v>28</v>
      </c>
      <c r="F123" s="71" t="s">
        <v>470</v>
      </c>
    </row>
    <row r="124" customFormat="false" ht="15" hidden="false" customHeight="false" outlineLevel="0" collapsed="false">
      <c r="A124" s="71" t="s">
        <v>776</v>
      </c>
      <c r="B124" s="71" t="s">
        <v>212</v>
      </c>
      <c r="C124" s="71" t="s">
        <v>343</v>
      </c>
      <c r="D124" s="72" t="n">
        <v>371.9</v>
      </c>
      <c r="E124" s="73" t="n">
        <v>28.6</v>
      </c>
      <c r="F124" s="71" t="s">
        <v>470</v>
      </c>
    </row>
    <row r="125" customFormat="false" ht="15" hidden="false" customHeight="false" outlineLevel="0" collapsed="false">
      <c r="A125" s="71" t="s">
        <v>777</v>
      </c>
      <c r="B125" s="71" t="s">
        <v>216</v>
      </c>
      <c r="C125" s="71" t="s">
        <v>341</v>
      </c>
      <c r="D125" s="72" t="n">
        <v>380.9</v>
      </c>
      <c r="E125" s="73" t="n">
        <v>29.2</v>
      </c>
      <c r="F125" s="71" t="s">
        <v>470</v>
      </c>
    </row>
    <row r="126" customFormat="false" ht="15" hidden="false" customHeight="false" outlineLevel="0" collapsed="false">
      <c r="A126" s="71" t="s">
        <v>778</v>
      </c>
      <c r="B126" s="71" t="s">
        <v>212</v>
      </c>
      <c r="C126" s="71" t="s">
        <v>343</v>
      </c>
      <c r="D126" s="72" t="n">
        <v>383.3</v>
      </c>
      <c r="E126" s="73" t="n">
        <v>29.4</v>
      </c>
      <c r="F126" s="71" t="s">
        <v>470</v>
      </c>
    </row>
    <row r="127" customFormat="false" ht="15" hidden="false" customHeight="false" outlineLevel="0" collapsed="false">
      <c r="A127" s="71" t="s">
        <v>779</v>
      </c>
      <c r="B127" s="71" t="s">
        <v>213</v>
      </c>
      <c r="C127" s="71" t="s">
        <v>341</v>
      </c>
      <c r="D127" s="72" t="n">
        <v>387.5</v>
      </c>
      <c r="E127" s="73" t="n">
        <v>29.8</v>
      </c>
      <c r="F127" s="71" t="s">
        <v>470</v>
      </c>
    </row>
    <row r="128" customFormat="false" ht="15" hidden="false" customHeight="false" outlineLevel="0" collapsed="false">
      <c r="A128" s="71" t="s">
        <v>780</v>
      </c>
      <c r="B128" s="71" t="s">
        <v>214</v>
      </c>
      <c r="C128" s="71" t="s">
        <v>341</v>
      </c>
      <c r="D128" s="72" t="n">
        <v>410.4</v>
      </c>
      <c r="E128" s="73" t="n">
        <v>31.5</v>
      </c>
      <c r="F128" s="71" t="s">
        <v>470</v>
      </c>
    </row>
    <row r="129" customFormat="false" ht="15" hidden="false" customHeight="false" outlineLevel="0" collapsed="false">
      <c r="A129" s="71" t="s">
        <v>781</v>
      </c>
      <c r="B129" s="71" t="s">
        <v>212</v>
      </c>
      <c r="C129" s="71" t="s">
        <v>343</v>
      </c>
      <c r="D129" s="72" t="n">
        <v>440.8</v>
      </c>
      <c r="E129" s="73" t="n">
        <v>33.8</v>
      </c>
      <c r="F129" s="71" t="s">
        <v>470</v>
      </c>
    </row>
    <row r="130" customFormat="false" ht="15" hidden="false" customHeight="false" outlineLevel="0" collapsed="false">
      <c r="A130" s="71" t="s">
        <v>782</v>
      </c>
      <c r="B130" s="71" t="s">
        <v>213</v>
      </c>
      <c r="C130" s="71" t="s">
        <v>341</v>
      </c>
      <c r="D130" s="72" t="n">
        <v>454.7</v>
      </c>
      <c r="E130" s="73" t="n">
        <v>34.9</v>
      </c>
      <c r="F130" s="71" t="s">
        <v>470</v>
      </c>
    </row>
    <row r="131" customFormat="false" ht="15" hidden="false" customHeight="false" outlineLevel="0" collapsed="false">
      <c r="A131" s="71" t="s">
        <v>783</v>
      </c>
      <c r="B131" s="71" t="s">
        <v>212</v>
      </c>
      <c r="C131" s="71" t="s">
        <v>343</v>
      </c>
      <c r="D131" s="72" t="n">
        <v>467.7</v>
      </c>
      <c r="E131" s="73" t="n">
        <v>35.9</v>
      </c>
      <c r="F131" s="71" t="s">
        <v>470</v>
      </c>
    </row>
    <row r="132" customFormat="false" ht="15" hidden="false" customHeight="false" outlineLevel="0" collapsed="false">
      <c r="A132" s="71" t="s">
        <v>784</v>
      </c>
      <c r="B132" s="71" t="s">
        <v>212</v>
      </c>
      <c r="C132" s="71" t="s">
        <v>343</v>
      </c>
      <c r="D132" s="72" t="n">
        <v>470.6</v>
      </c>
      <c r="E132" s="73" t="n">
        <v>36.1</v>
      </c>
      <c r="F132" s="71" t="s">
        <v>470</v>
      </c>
    </row>
    <row r="133" customFormat="false" ht="15" hidden="false" customHeight="false" outlineLevel="0" collapsed="false">
      <c r="A133" s="71" t="s">
        <v>785</v>
      </c>
      <c r="B133" s="71" t="s">
        <v>213</v>
      </c>
      <c r="C133" s="71" t="s">
        <v>341</v>
      </c>
      <c r="D133" s="72" t="n">
        <v>474.9</v>
      </c>
      <c r="E133" s="73" t="n">
        <v>36.5</v>
      </c>
      <c r="F133" s="71" t="s">
        <v>470</v>
      </c>
    </row>
    <row r="134" customFormat="false" ht="15" hidden="false" customHeight="false" outlineLevel="0" collapsed="false">
      <c r="A134" s="71" t="s">
        <v>786</v>
      </c>
      <c r="B134" s="71" t="s">
        <v>212</v>
      </c>
      <c r="C134" s="71" t="s">
        <v>343</v>
      </c>
      <c r="D134" s="72" t="n">
        <v>477</v>
      </c>
      <c r="E134" s="73" t="n">
        <v>36.6</v>
      </c>
      <c r="F134" s="71" t="s">
        <v>470</v>
      </c>
    </row>
    <row r="135" customFormat="false" ht="15" hidden="false" customHeight="false" outlineLevel="0" collapsed="false">
      <c r="A135" s="71" t="s">
        <v>787</v>
      </c>
      <c r="B135" s="71" t="s">
        <v>213</v>
      </c>
      <c r="C135" s="71" t="s">
        <v>341</v>
      </c>
      <c r="D135" s="72" t="n">
        <v>511.7</v>
      </c>
      <c r="E135" s="73" t="n">
        <v>39.3</v>
      </c>
      <c r="F135" s="71" t="s">
        <v>470</v>
      </c>
    </row>
    <row r="136" customFormat="false" ht="15" hidden="false" customHeight="false" outlineLevel="0" collapsed="false">
      <c r="A136" s="71" t="s">
        <v>788</v>
      </c>
      <c r="B136" s="71" t="s">
        <v>212</v>
      </c>
      <c r="C136" s="71" t="s">
        <v>343</v>
      </c>
      <c r="D136" s="72" t="n">
        <v>530.9</v>
      </c>
      <c r="E136" s="73" t="n">
        <v>40.8</v>
      </c>
      <c r="F136" s="71" t="s">
        <v>470</v>
      </c>
    </row>
    <row r="137" customFormat="false" ht="15" hidden="false" customHeight="false" outlineLevel="0" collapsed="false">
      <c r="A137" s="71" t="s">
        <v>789</v>
      </c>
      <c r="B137" s="71" t="s">
        <v>213</v>
      </c>
      <c r="C137" s="71" t="s">
        <v>341</v>
      </c>
      <c r="D137" s="72" t="n">
        <v>537.8</v>
      </c>
      <c r="E137" s="73" t="n">
        <v>41.3</v>
      </c>
      <c r="F137" s="71" t="s">
        <v>470</v>
      </c>
    </row>
    <row r="138" customFormat="false" ht="15" hidden="false" customHeight="false" outlineLevel="0" collapsed="false">
      <c r="A138" s="71" t="s">
        <v>790</v>
      </c>
      <c r="B138" s="71" t="s">
        <v>214</v>
      </c>
      <c r="C138" s="71" t="s">
        <v>341</v>
      </c>
      <c r="D138" s="72" t="n">
        <v>545.1</v>
      </c>
      <c r="E138" s="73" t="n">
        <v>41.9</v>
      </c>
      <c r="F138" s="71" t="s">
        <v>470</v>
      </c>
    </row>
    <row r="139" customFormat="false" ht="15" hidden="false" customHeight="false" outlineLevel="0" collapsed="false">
      <c r="A139" s="71" t="s">
        <v>791</v>
      </c>
      <c r="B139" s="71" t="s">
        <v>212</v>
      </c>
      <c r="C139" s="71" t="s">
        <v>343</v>
      </c>
      <c r="D139" s="72" t="n">
        <v>546.4</v>
      </c>
      <c r="E139" s="73" t="n">
        <v>42</v>
      </c>
      <c r="F139" s="71" t="s">
        <v>470</v>
      </c>
    </row>
    <row r="140" customFormat="false" ht="15" hidden="false" customHeight="false" outlineLevel="0" collapsed="false">
      <c r="A140" s="71" t="s">
        <v>792</v>
      </c>
      <c r="B140" s="71" t="s">
        <v>212</v>
      </c>
      <c r="C140" s="71" t="s">
        <v>343</v>
      </c>
      <c r="D140" s="72" t="n">
        <v>555.9</v>
      </c>
      <c r="E140" s="73" t="n">
        <v>42.7</v>
      </c>
      <c r="F140" s="71" t="s">
        <v>470</v>
      </c>
    </row>
    <row r="141" customFormat="false" ht="15" hidden="false" customHeight="false" outlineLevel="0" collapsed="false">
      <c r="A141" s="71" t="s">
        <v>793</v>
      </c>
      <c r="B141" s="71" t="s">
        <v>212</v>
      </c>
      <c r="C141" s="71" t="s">
        <v>343</v>
      </c>
      <c r="D141" s="72" t="n">
        <v>573.9</v>
      </c>
      <c r="E141" s="73" t="n">
        <v>44.1</v>
      </c>
      <c r="F141" s="71" t="s">
        <v>470</v>
      </c>
    </row>
    <row r="142" customFormat="false" ht="15" hidden="false" customHeight="false" outlineLevel="0" collapsed="false">
      <c r="A142" s="71" t="s">
        <v>794</v>
      </c>
      <c r="B142" s="71" t="s">
        <v>214</v>
      </c>
      <c r="C142" s="71" t="s">
        <v>341</v>
      </c>
      <c r="D142" s="72" t="n">
        <v>599.2</v>
      </c>
      <c r="E142" s="73" t="n">
        <v>46</v>
      </c>
      <c r="F142" s="71" t="s">
        <v>470</v>
      </c>
    </row>
    <row r="143" customFormat="false" ht="15" hidden="false" customHeight="false" outlineLevel="0" collapsed="false">
      <c r="A143" s="71" t="s">
        <v>795</v>
      </c>
      <c r="B143" s="71" t="s">
        <v>213</v>
      </c>
      <c r="C143" s="71" t="s">
        <v>341</v>
      </c>
      <c r="D143" s="72" t="n">
        <v>602.7</v>
      </c>
      <c r="E143" s="73" t="n">
        <v>46.3</v>
      </c>
      <c r="F143" s="71" t="s">
        <v>470</v>
      </c>
    </row>
    <row r="144" customFormat="false" ht="15" hidden="false" customHeight="false" outlineLevel="0" collapsed="false">
      <c r="A144" s="71" t="s">
        <v>314</v>
      </c>
      <c r="B144" s="71" t="s">
        <v>212</v>
      </c>
      <c r="C144" s="71" t="s">
        <v>343</v>
      </c>
      <c r="D144" s="72" t="n">
        <v>611.2</v>
      </c>
      <c r="E144" s="73" t="n">
        <v>46.9</v>
      </c>
      <c r="F144" s="71" t="s">
        <v>470</v>
      </c>
    </row>
    <row r="145" customFormat="false" ht="15" hidden="false" customHeight="false" outlineLevel="0" collapsed="false">
      <c r="A145" s="71" t="s">
        <v>312</v>
      </c>
      <c r="B145" s="71" t="s">
        <v>213</v>
      </c>
      <c r="C145" s="71" t="s">
        <v>341</v>
      </c>
      <c r="D145" s="72" t="n">
        <v>612.2</v>
      </c>
      <c r="E145" s="73" t="n">
        <v>47</v>
      </c>
      <c r="F145" s="71" t="s">
        <v>470</v>
      </c>
    </row>
    <row r="146" customFormat="false" ht="15" hidden="false" customHeight="false" outlineLevel="0" collapsed="false">
      <c r="A146" s="71" t="s">
        <v>311</v>
      </c>
      <c r="B146" s="71" t="s">
        <v>212</v>
      </c>
      <c r="C146" s="71" t="s">
        <v>343</v>
      </c>
      <c r="D146" s="72" t="n">
        <v>612.7</v>
      </c>
      <c r="E146" s="73" t="n">
        <v>47</v>
      </c>
      <c r="F146" s="71" t="s">
        <v>470</v>
      </c>
    </row>
    <row r="147" customFormat="false" ht="15" hidden="false" customHeight="false" outlineLevel="0" collapsed="false">
      <c r="A147" s="71" t="s">
        <v>309</v>
      </c>
      <c r="B147" s="71" t="s">
        <v>214</v>
      </c>
      <c r="C147" s="71" t="s">
        <v>341</v>
      </c>
      <c r="D147" s="72" t="n">
        <v>615.7</v>
      </c>
      <c r="E147" s="73" t="n">
        <v>47.3</v>
      </c>
      <c r="F147" s="71" t="s">
        <v>470</v>
      </c>
    </row>
    <row r="148" customFormat="false" ht="15" hidden="false" customHeight="false" outlineLevel="0" collapsed="false">
      <c r="A148" s="71" t="s">
        <v>308</v>
      </c>
      <c r="B148" s="71" t="s">
        <v>213</v>
      </c>
      <c r="C148" s="71" t="s">
        <v>341</v>
      </c>
      <c r="D148" s="72" t="n">
        <v>616.5</v>
      </c>
      <c r="E148" s="73" t="n">
        <v>47.3</v>
      </c>
      <c r="F148" s="71" t="s">
        <v>470</v>
      </c>
    </row>
    <row r="149" customFormat="false" ht="15" hidden="false" customHeight="false" outlineLevel="0" collapsed="false">
      <c r="A149" s="71" t="s">
        <v>303</v>
      </c>
      <c r="B149" s="71" t="s">
        <v>212</v>
      </c>
      <c r="C149" s="71" t="s">
        <v>343</v>
      </c>
      <c r="D149" s="72" t="n">
        <v>619.2</v>
      </c>
      <c r="E149" s="73" t="n">
        <v>47.5</v>
      </c>
      <c r="F149" s="71" t="s">
        <v>470</v>
      </c>
    </row>
    <row r="150" customFormat="false" ht="15" hidden="false" customHeight="false" outlineLevel="0" collapsed="false">
      <c r="A150" s="71" t="s">
        <v>301</v>
      </c>
      <c r="B150" s="71" t="s">
        <v>214</v>
      </c>
      <c r="C150" s="71" t="s">
        <v>341</v>
      </c>
      <c r="D150" s="72" t="n">
        <v>624.5</v>
      </c>
      <c r="E150" s="73" t="n">
        <v>47.9</v>
      </c>
      <c r="F150" s="71" t="s">
        <v>470</v>
      </c>
    </row>
    <row r="151" customFormat="false" ht="15" hidden="false" customHeight="false" outlineLevel="0" collapsed="false">
      <c r="A151" s="71" t="s">
        <v>300</v>
      </c>
      <c r="B151" s="71" t="s">
        <v>212</v>
      </c>
      <c r="C151" s="71" t="s">
        <v>343</v>
      </c>
      <c r="D151" s="72" t="n">
        <v>624.7</v>
      </c>
      <c r="E151" s="73" t="n">
        <v>48</v>
      </c>
      <c r="F151" s="71" t="s">
        <v>470</v>
      </c>
    </row>
    <row r="152" customFormat="false" ht="15" hidden="false" customHeight="false" outlineLevel="0" collapsed="false">
      <c r="A152" s="71" t="s">
        <v>299</v>
      </c>
      <c r="B152" s="71" t="s">
        <v>213</v>
      </c>
      <c r="C152" s="71" t="s">
        <v>341</v>
      </c>
      <c r="D152" s="72" t="n">
        <v>627.9</v>
      </c>
      <c r="E152" s="73" t="n">
        <v>48.2</v>
      </c>
      <c r="F152" s="71" t="s">
        <v>470</v>
      </c>
    </row>
    <row r="153" customFormat="false" ht="15" hidden="false" customHeight="false" outlineLevel="0" collapsed="false">
      <c r="A153" s="71" t="s">
        <v>295</v>
      </c>
      <c r="B153" s="71" t="s">
        <v>212</v>
      </c>
      <c r="C153" s="71" t="s">
        <v>343</v>
      </c>
      <c r="D153" s="72" t="n">
        <v>632.8</v>
      </c>
      <c r="E153" s="73" t="n">
        <v>48.6</v>
      </c>
      <c r="F153" s="71" t="s">
        <v>470</v>
      </c>
    </row>
    <row r="154" customFormat="false" ht="15" hidden="false" customHeight="false" outlineLevel="0" collapsed="false">
      <c r="A154" s="71" t="s">
        <v>292</v>
      </c>
      <c r="B154" s="71" t="s">
        <v>213</v>
      </c>
      <c r="C154" s="71" t="s">
        <v>341</v>
      </c>
      <c r="D154" s="72" t="n">
        <v>633.5</v>
      </c>
      <c r="E154" s="73" t="n">
        <v>48.6</v>
      </c>
      <c r="F154" s="71" t="s">
        <v>470</v>
      </c>
    </row>
    <row r="155" customFormat="false" ht="15" hidden="false" customHeight="false" outlineLevel="0" collapsed="false">
      <c r="A155" s="74" t="s">
        <v>289</v>
      </c>
      <c r="B155" s="74" t="s">
        <v>213</v>
      </c>
      <c r="C155" s="74" t="s">
        <v>341</v>
      </c>
      <c r="D155" s="75" t="n">
        <v>657.5</v>
      </c>
      <c r="E155" s="76" t="n">
        <v>50.5</v>
      </c>
      <c r="F155" s="74" t="s">
        <v>524</v>
      </c>
    </row>
    <row r="156" customFormat="false" ht="15" hidden="false" customHeight="false" outlineLevel="0" collapsed="false">
      <c r="A156" s="74" t="s">
        <v>288</v>
      </c>
      <c r="B156" s="74" t="s">
        <v>214</v>
      </c>
      <c r="C156" s="74" t="s">
        <v>341</v>
      </c>
      <c r="D156" s="75" t="n">
        <v>665</v>
      </c>
      <c r="E156" s="76" t="n">
        <v>51.1</v>
      </c>
      <c r="F156" s="74" t="s">
        <v>524</v>
      </c>
    </row>
    <row r="157" customFormat="false" ht="15" hidden="false" customHeight="false" outlineLevel="0" collapsed="false">
      <c r="A157" s="74" t="s">
        <v>287</v>
      </c>
      <c r="B157" s="74" t="s">
        <v>213</v>
      </c>
      <c r="C157" s="74" t="s">
        <v>341</v>
      </c>
      <c r="D157" s="75" t="n">
        <v>670.9</v>
      </c>
      <c r="E157" s="76" t="n">
        <v>51.5</v>
      </c>
      <c r="F157" s="74" t="s">
        <v>524</v>
      </c>
    </row>
    <row r="158" customFormat="false" ht="15" hidden="false" customHeight="false" outlineLevel="0" collapsed="false">
      <c r="A158" s="74" t="s">
        <v>286</v>
      </c>
      <c r="B158" s="74" t="s">
        <v>214</v>
      </c>
      <c r="C158" s="74" t="s">
        <v>341</v>
      </c>
      <c r="D158" s="75" t="n">
        <v>673.1</v>
      </c>
      <c r="E158" s="76" t="n">
        <v>51.7</v>
      </c>
      <c r="F158" s="74" t="s">
        <v>524</v>
      </c>
    </row>
    <row r="159" customFormat="false" ht="15" hidden="false" customHeight="false" outlineLevel="0" collapsed="false">
      <c r="A159" s="74" t="s">
        <v>285</v>
      </c>
      <c r="B159" s="74" t="s">
        <v>214</v>
      </c>
      <c r="C159" s="74" t="s">
        <v>341</v>
      </c>
      <c r="D159" s="75" t="n">
        <v>674.6</v>
      </c>
      <c r="E159" s="76" t="n">
        <v>51.8</v>
      </c>
      <c r="F159" s="74" t="s">
        <v>524</v>
      </c>
    </row>
    <row r="160" customFormat="false" ht="15" hidden="false" customHeight="false" outlineLevel="0" collapsed="false">
      <c r="A160" s="74" t="s">
        <v>280</v>
      </c>
      <c r="B160" s="74" t="s">
        <v>214</v>
      </c>
      <c r="C160" s="74" t="s">
        <v>341</v>
      </c>
      <c r="D160" s="75" t="n">
        <v>780</v>
      </c>
      <c r="E160" s="76" t="n">
        <v>59.9</v>
      </c>
      <c r="F160" s="74" t="s">
        <v>524</v>
      </c>
    </row>
  </sheetData>
  <mergeCells count="8">
    <mergeCell ref="A1:F1"/>
    <mergeCell ref="A10:F10"/>
    <mergeCell ref="A11:F11"/>
    <mergeCell ref="A12:F12"/>
    <mergeCell ref="A13:F13"/>
    <mergeCell ref="A14:F14"/>
    <mergeCell ref="A15:F15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796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35700.7</v>
      </c>
    </row>
    <row r="4" customFormat="false" ht="15" hidden="false" customHeight="false" outlineLevel="0" collapsed="false">
      <c r="A4" s="39" t="s">
        <v>134</v>
      </c>
      <c r="B4" s="0" t="n">
        <v>120</v>
      </c>
    </row>
    <row r="5" customFormat="false" ht="15" hidden="false" customHeight="false" outlineLevel="0" collapsed="false">
      <c r="A5" s="39" t="s">
        <v>368</v>
      </c>
      <c r="B5" s="53" t="s">
        <v>797</v>
      </c>
    </row>
    <row r="6" customFormat="false" ht="15" hidden="false" customHeight="false" outlineLevel="0" collapsed="false">
      <c r="A6" s="39" t="s">
        <v>370</v>
      </c>
      <c r="B6" s="54" t="n">
        <v>24.7957401244393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0.495914802488786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527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798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799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800</v>
      </c>
      <c r="B14" s="58"/>
      <c r="C14" s="58"/>
      <c r="D14" s="58"/>
      <c r="E14" s="58"/>
      <c r="F14" s="58"/>
    </row>
    <row r="16" customFormat="false" ht="15" hidden="false" customHeight="false" outlineLevel="0" collapsed="false">
      <c r="A16" s="59" t="s">
        <v>378</v>
      </c>
    </row>
    <row r="17" customFormat="false" ht="26.85" hidden="false" customHeight="false" outlineLevel="0" collapsed="false">
      <c r="A17" s="6" t="s">
        <v>210</v>
      </c>
      <c r="B17" s="6" t="s">
        <v>134</v>
      </c>
      <c r="C17" s="6" t="s">
        <v>132</v>
      </c>
      <c r="D17" s="6" t="s">
        <v>379</v>
      </c>
      <c r="E17" s="6" t="s">
        <v>380</v>
      </c>
    </row>
    <row r="18" customFormat="false" ht="15" hidden="false" customHeight="false" outlineLevel="0" collapsed="false">
      <c r="A18" s="63" t="s">
        <v>245</v>
      </c>
      <c r="B18" s="63" t="n">
        <v>40</v>
      </c>
      <c r="C18" s="64" t="n">
        <v>10473.2</v>
      </c>
      <c r="D18" s="65" t="n">
        <v>261.8</v>
      </c>
      <c r="E18" s="65" t="n">
        <v>21.8</v>
      </c>
    </row>
    <row r="19" customFormat="false" ht="15" hidden="false" customHeight="false" outlineLevel="0" collapsed="false">
      <c r="A19" s="60" t="s">
        <v>246</v>
      </c>
      <c r="B19" s="60" t="n">
        <v>18</v>
      </c>
      <c r="C19" s="61" t="n">
        <v>5598.2</v>
      </c>
      <c r="D19" s="62" t="n">
        <v>311</v>
      </c>
      <c r="E19" s="62" t="n">
        <v>25.9</v>
      </c>
    </row>
    <row r="20" customFormat="false" ht="15" hidden="false" customHeight="false" outlineLevel="0" collapsed="false">
      <c r="A20" s="60" t="s">
        <v>247</v>
      </c>
      <c r="B20" s="60" t="n">
        <v>18</v>
      </c>
      <c r="C20" s="61" t="n">
        <v>5579.1</v>
      </c>
      <c r="D20" s="62" t="n">
        <v>310</v>
      </c>
      <c r="E20" s="62" t="n">
        <v>25.8</v>
      </c>
    </row>
    <row r="21" customFormat="false" ht="15" hidden="false" customHeight="false" outlineLevel="0" collapsed="false">
      <c r="A21" s="60" t="s">
        <v>248</v>
      </c>
      <c r="B21" s="60" t="n">
        <v>16</v>
      </c>
      <c r="C21" s="61" t="n">
        <v>4989</v>
      </c>
      <c r="D21" s="62" t="n">
        <v>311.8</v>
      </c>
      <c r="E21" s="62" t="n">
        <v>26</v>
      </c>
    </row>
    <row r="22" customFormat="false" ht="15" hidden="false" customHeight="false" outlineLevel="0" collapsed="false">
      <c r="A22" s="63" t="s">
        <v>249</v>
      </c>
      <c r="B22" s="63" t="n">
        <v>21</v>
      </c>
      <c r="C22" s="64" t="n">
        <v>4908.7</v>
      </c>
      <c r="D22" s="65" t="n">
        <v>233.7</v>
      </c>
      <c r="E22" s="65" t="n">
        <v>19.5</v>
      </c>
    </row>
    <row r="23" customFormat="false" ht="15" hidden="false" customHeight="false" outlineLevel="0" collapsed="false">
      <c r="A23" s="63" t="s">
        <v>250</v>
      </c>
      <c r="B23" s="63" t="n">
        <v>21</v>
      </c>
      <c r="C23" s="64" t="n">
        <v>4152.5</v>
      </c>
      <c r="D23" s="65" t="n">
        <v>197.7</v>
      </c>
      <c r="E23" s="65" t="n">
        <v>16.5</v>
      </c>
    </row>
    <row r="25" customFormat="false" ht="15" hidden="false" customHeight="false" outlineLevel="0" collapsed="false">
      <c r="A25" s="59" t="s">
        <v>381</v>
      </c>
    </row>
    <row r="26" customFormat="false" ht="26.85" hidden="false" customHeight="false" outlineLevel="0" collapsed="false">
      <c r="A26" s="6" t="s">
        <v>161</v>
      </c>
      <c r="B26" s="6" t="s">
        <v>162</v>
      </c>
      <c r="C26" s="6" t="s">
        <v>163</v>
      </c>
      <c r="D26" s="6" t="s">
        <v>382</v>
      </c>
      <c r="E26" s="6" t="s">
        <v>383</v>
      </c>
      <c r="F26" s="6" t="s">
        <v>384</v>
      </c>
    </row>
    <row r="27" customFormat="false" ht="15" hidden="false" customHeight="false" outlineLevel="0" collapsed="false">
      <c r="A27" s="66" t="s">
        <v>174</v>
      </c>
      <c r="B27" s="67" t="n">
        <v>204478</v>
      </c>
      <c r="C27" s="67" t="n">
        <v>9803</v>
      </c>
      <c r="D27" s="68" t="n">
        <v>0</v>
      </c>
      <c r="E27" s="68" t="n">
        <v>0.959</v>
      </c>
      <c r="F27" s="69" t="n">
        <v>0.3</v>
      </c>
    </row>
    <row r="28" customFormat="false" ht="15" hidden="false" customHeight="false" outlineLevel="0" collapsed="false">
      <c r="A28" s="66" t="s">
        <v>43</v>
      </c>
      <c r="B28" s="67" t="n">
        <v>121156</v>
      </c>
      <c r="C28" s="67" t="n">
        <v>21262</v>
      </c>
      <c r="D28" s="68" t="n">
        <v>0</v>
      </c>
      <c r="E28" s="68" t="n">
        <v>0</v>
      </c>
      <c r="F28" s="69" t="n">
        <v>0</v>
      </c>
    </row>
    <row r="29" customFormat="false" ht="15" hidden="false" customHeight="false" outlineLevel="0" collapsed="false">
      <c r="A29" s="66" t="s">
        <v>175</v>
      </c>
      <c r="B29" s="67" t="n">
        <v>48875</v>
      </c>
      <c r="C29" s="67" t="n">
        <v>0</v>
      </c>
      <c r="D29" s="68" t="n">
        <v>0.348</v>
      </c>
      <c r="E29" s="68" t="n">
        <v>0.92</v>
      </c>
      <c r="F29" s="69" t="n">
        <v>1</v>
      </c>
    </row>
    <row r="30" customFormat="false" ht="15" hidden="false" customHeight="false" outlineLevel="0" collapsed="false">
      <c r="A30" s="66" t="s">
        <v>49</v>
      </c>
      <c r="B30" s="67" t="n">
        <v>45507</v>
      </c>
      <c r="C30" s="67" t="n">
        <v>0</v>
      </c>
      <c r="D30" s="68" t="n">
        <v>0</v>
      </c>
      <c r="E30" s="68" t="n">
        <v>0</v>
      </c>
      <c r="F30" s="69" t="n">
        <v>0</v>
      </c>
    </row>
    <row r="31" customFormat="false" ht="15" hidden="false" customHeight="false" outlineLevel="0" collapsed="false">
      <c r="A31" s="66" t="s">
        <v>45</v>
      </c>
      <c r="B31" s="67" t="n">
        <v>9567</v>
      </c>
      <c r="C31" s="67" t="n">
        <v>1442</v>
      </c>
      <c r="D31" s="68" t="n">
        <v>0</v>
      </c>
      <c r="E31" s="68" t="n">
        <v>0</v>
      </c>
      <c r="F31" s="69" t="n">
        <v>0</v>
      </c>
    </row>
    <row r="32" customFormat="false" ht="15" hidden="false" customHeight="false" outlineLevel="0" collapsed="false">
      <c r="A32" s="66" t="s">
        <v>178</v>
      </c>
      <c r="B32" s="67" t="n">
        <v>3581</v>
      </c>
      <c r="C32" s="67" t="n">
        <v>0</v>
      </c>
      <c r="D32" s="68" t="n">
        <v>0</v>
      </c>
      <c r="E32" s="68" t="n">
        <v>0.492</v>
      </c>
      <c r="F32" s="69" t="n">
        <v>1.3</v>
      </c>
    </row>
    <row r="33" customFormat="false" ht="15" hidden="false" customHeight="false" outlineLevel="0" collapsed="false">
      <c r="A33" s="66" t="s">
        <v>47</v>
      </c>
      <c r="B33" s="67" t="n">
        <v>202</v>
      </c>
      <c r="C33" s="67" t="n">
        <v>2</v>
      </c>
      <c r="D33" s="68" t="n">
        <v>0</v>
      </c>
      <c r="E33" s="68" t="n">
        <v>0</v>
      </c>
      <c r="F33" s="69" t="n">
        <v>0</v>
      </c>
    </row>
    <row r="35" customFormat="false" ht="15" hidden="false" customHeight="false" outlineLevel="0" collapsed="false">
      <c r="A35" s="70" t="s">
        <v>385</v>
      </c>
      <c r="B35" s="70"/>
      <c r="C35" s="70"/>
      <c r="D35" s="70"/>
      <c r="E35" s="70"/>
      <c r="F35" s="70"/>
    </row>
    <row r="36" customFormat="false" ht="15" hidden="false" customHeight="false" outlineLevel="0" collapsed="false">
      <c r="A36" s="6" t="s">
        <v>275</v>
      </c>
      <c r="B36" s="6" t="s">
        <v>386</v>
      </c>
      <c r="C36" s="6" t="s">
        <v>276</v>
      </c>
      <c r="D36" s="6" t="s">
        <v>132</v>
      </c>
      <c r="E36" s="6" t="s">
        <v>387</v>
      </c>
      <c r="F36" s="6" t="s">
        <v>75</v>
      </c>
    </row>
    <row r="37" customFormat="false" ht="15" hidden="false" customHeight="false" outlineLevel="0" collapsed="false">
      <c r="A37" s="77" t="s">
        <v>801</v>
      </c>
      <c r="B37" s="77" t="s">
        <v>245</v>
      </c>
      <c r="C37" s="77" t="s">
        <v>340</v>
      </c>
      <c r="D37" s="78" t="n">
        <v>0</v>
      </c>
      <c r="E37" s="79" t="n">
        <v>0</v>
      </c>
      <c r="F37" s="77" t="s">
        <v>531</v>
      </c>
    </row>
    <row r="38" customFormat="false" ht="15" hidden="false" customHeight="false" outlineLevel="0" collapsed="false">
      <c r="A38" s="60" t="s">
        <v>802</v>
      </c>
      <c r="B38" s="60" t="s">
        <v>245</v>
      </c>
      <c r="C38" s="60" t="s">
        <v>349</v>
      </c>
      <c r="D38" s="61" t="n">
        <v>2.8</v>
      </c>
      <c r="E38" s="62" t="n">
        <v>0.2</v>
      </c>
      <c r="F38" s="60" t="s">
        <v>391</v>
      </c>
    </row>
    <row r="39" customFormat="false" ht="15" hidden="false" customHeight="false" outlineLevel="0" collapsed="false">
      <c r="A39" s="60" t="s">
        <v>803</v>
      </c>
      <c r="B39" s="60" t="s">
        <v>249</v>
      </c>
      <c r="C39" s="60" t="s">
        <v>339</v>
      </c>
      <c r="D39" s="61" t="n">
        <v>55.9</v>
      </c>
      <c r="E39" s="62" t="n">
        <v>4.7</v>
      </c>
      <c r="F39" s="60" t="s">
        <v>391</v>
      </c>
    </row>
    <row r="40" customFormat="false" ht="15" hidden="false" customHeight="false" outlineLevel="0" collapsed="false">
      <c r="A40" s="60" t="s">
        <v>804</v>
      </c>
      <c r="B40" s="60" t="s">
        <v>245</v>
      </c>
      <c r="C40" s="60" t="s">
        <v>340</v>
      </c>
      <c r="D40" s="61" t="n">
        <v>207.6</v>
      </c>
      <c r="E40" s="62" t="n">
        <v>17.3</v>
      </c>
      <c r="F40" s="60" t="s">
        <v>391</v>
      </c>
    </row>
    <row r="41" customFormat="false" ht="15" hidden="false" customHeight="false" outlineLevel="0" collapsed="false">
      <c r="A41" s="60" t="s">
        <v>805</v>
      </c>
      <c r="B41" s="60" t="s">
        <v>249</v>
      </c>
      <c r="C41" s="60" t="s">
        <v>339</v>
      </c>
      <c r="D41" s="61" t="n">
        <v>211.8</v>
      </c>
      <c r="E41" s="62" t="n">
        <v>17.7</v>
      </c>
      <c r="F41" s="60" t="s">
        <v>391</v>
      </c>
    </row>
    <row r="42" customFormat="false" ht="15" hidden="false" customHeight="false" outlineLevel="0" collapsed="false">
      <c r="A42" s="60" t="s">
        <v>806</v>
      </c>
      <c r="B42" s="60" t="s">
        <v>250</v>
      </c>
      <c r="C42" s="60" t="s">
        <v>344</v>
      </c>
      <c r="D42" s="61" t="n">
        <v>212.4</v>
      </c>
      <c r="E42" s="62" t="n">
        <v>17.7</v>
      </c>
      <c r="F42" s="60" t="s">
        <v>391</v>
      </c>
    </row>
    <row r="43" customFormat="false" ht="15" hidden="false" customHeight="false" outlineLevel="0" collapsed="false">
      <c r="A43" s="60" t="s">
        <v>807</v>
      </c>
      <c r="B43" s="60" t="s">
        <v>247</v>
      </c>
      <c r="C43" s="60" t="s">
        <v>348</v>
      </c>
      <c r="D43" s="61" t="n">
        <v>219.5</v>
      </c>
      <c r="E43" s="62" t="n">
        <v>18.3</v>
      </c>
      <c r="F43" s="60" t="s">
        <v>391</v>
      </c>
    </row>
    <row r="44" customFormat="false" ht="15" hidden="false" customHeight="false" outlineLevel="0" collapsed="false">
      <c r="A44" s="60" t="s">
        <v>808</v>
      </c>
      <c r="B44" s="60" t="s">
        <v>249</v>
      </c>
      <c r="C44" s="60" t="s">
        <v>339</v>
      </c>
      <c r="D44" s="61" t="n">
        <v>231.3</v>
      </c>
      <c r="E44" s="62" t="n">
        <v>19.3</v>
      </c>
      <c r="F44" s="60" t="s">
        <v>391</v>
      </c>
    </row>
    <row r="45" customFormat="false" ht="15" hidden="false" customHeight="false" outlineLevel="0" collapsed="false">
      <c r="A45" s="60" t="s">
        <v>809</v>
      </c>
      <c r="B45" s="60" t="s">
        <v>250</v>
      </c>
      <c r="C45" s="60" t="s">
        <v>348</v>
      </c>
      <c r="D45" s="61" t="n">
        <v>231.9</v>
      </c>
      <c r="E45" s="62" t="n">
        <v>19.3</v>
      </c>
      <c r="F45" s="60" t="s">
        <v>391</v>
      </c>
    </row>
    <row r="46" customFormat="false" ht="15" hidden="false" customHeight="false" outlineLevel="0" collapsed="false">
      <c r="A46" s="60" t="s">
        <v>810</v>
      </c>
      <c r="B46" s="60" t="s">
        <v>245</v>
      </c>
      <c r="C46" s="60" t="s">
        <v>340</v>
      </c>
      <c r="D46" s="61" t="n">
        <v>233.6</v>
      </c>
      <c r="E46" s="62" t="n">
        <v>19.5</v>
      </c>
      <c r="F46" s="60" t="s">
        <v>391</v>
      </c>
    </row>
    <row r="47" customFormat="false" ht="15" hidden="false" customHeight="false" outlineLevel="0" collapsed="false">
      <c r="A47" s="60" t="s">
        <v>811</v>
      </c>
      <c r="B47" s="60" t="s">
        <v>245</v>
      </c>
      <c r="C47" s="60" t="s">
        <v>340</v>
      </c>
      <c r="D47" s="61" t="n">
        <v>236.1</v>
      </c>
      <c r="E47" s="62" t="n">
        <v>19.7</v>
      </c>
      <c r="F47" s="60" t="s">
        <v>391</v>
      </c>
    </row>
    <row r="48" customFormat="false" ht="15" hidden="false" customHeight="false" outlineLevel="0" collapsed="false">
      <c r="A48" s="60" t="s">
        <v>812</v>
      </c>
      <c r="B48" s="60" t="s">
        <v>245</v>
      </c>
      <c r="C48" s="60" t="s">
        <v>340</v>
      </c>
      <c r="D48" s="61" t="n">
        <v>237.4</v>
      </c>
      <c r="E48" s="62" t="n">
        <v>19.8</v>
      </c>
      <c r="F48" s="60" t="s">
        <v>391</v>
      </c>
    </row>
    <row r="49" customFormat="false" ht="15" hidden="false" customHeight="false" outlineLevel="0" collapsed="false">
      <c r="A49" s="60" t="s">
        <v>813</v>
      </c>
      <c r="B49" s="60" t="s">
        <v>248</v>
      </c>
      <c r="C49" s="60" t="s">
        <v>339</v>
      </c>
      <c r="D49" s="61" t="n">
        <v>237.6</v>
      </c>
      <c r="E49" s="62" t="n">
        <v>19.8</v>
      </c>
      <c r="F49" s="60" t="s">
        <v>391</v>
      </c>
    </row>
    <row r="50" customFormat="false" ht="15" hidden="false" customHeight="false" outlineLevel="0" collapsed="false">
      <c r="A50" s="60" t="s">
        <v>814</v>
      </c>
      <c r="B50" s="60" t="s">
        <v>250</v>
      </c>
      <c r="C50" s="60" t="s">
        <v>346</v>
      </c>
      <c r="D50" s="61" t="n">
        <v>238.1</v>
      </c>
      <c r="E50" s="62" t="n">
        <v>19.8</v>
      </c>
      <c r="F50" s="60" t="s">
        <v>391</v>
      </c>
    </row>
    <row r="51" customFormat="false" ht="15" hidden="false" customHeight="false" outlineLevel="0" collapsed="false">
      <c r="A51" s="60" t="s">
        <v>815</v>
      </c>
      <c r="B51" s="60" t="s">
        <v>245</v>
      </c>
      <c r="C51" s="60" t="s">
        <v>340</v>
      </c>
      <c r="D51" s="61" t="n">
        <v>240.9</v>
      </c>
      <c r="E51" s="62" t="n">
        <v>20.1</v>
      </c>
      <c r="F51" s="60" t="s">
        <v>391</v>
      </c>
    </row>
    <row r="52" customFormat="false" ht="15" hidden="false" customHeight="false" outlineLevel="0" collapsed="false">
      <c r="A52" s="60" t="s">
        <v>816</v>
      </c>
      <c r="B52" s="60" t="s">
        <v>250</v>
      </c>
      <c r="C52" s="60" t="s">
        <v>344</v>
      </c>
      <c r="D52" s="61" t="n">
        <v>246</v>
      </c>
      <c r="E52" s="62" t="n">
        <v>20.5</v>
      </c>
      <c r="F52" s="60" t="s">
        <v>391</v>
      </c>
    </row>
    <row r="53" customFormat="false" ht="15" hidden="false" customHeight="false" outlineLevel="0" collapsed="false">
      <c r="A53" s="60" t="s">
        <v>817</v>
      </c>
      <c r="B53" s="60" t="s">
        <v>245</v>
      </c>
      <c r="C53" s="60" t="s">
        <v>340</v>
      </c>
      <c r="D53" s="61" t="n">
        <v>247.5</v>
      </c>
      <c r="E53" s="62" t="n">
        <v>20.6</v>
      </c>
      <c r="F53" s="60" t="s">
        <v>391</v>
      </c>
    </row>
    <row r="54" customFormat="false" ht="15" hidden="false" customHeight="false" outlineLevel="0" collapsed="false">
      <c r="A54" s="60" t="s">
        <v>818</v>
      </c>
      <c r="B54" s="60" t="s">
        <v>245</v>
      </c>
      <c r="C54" s="60" t="s">
        <v>340</v>
      </c>
      <c r="D54" s="61" t="n">
        <v>248.7</v>
      </c>
      <c r="E54" s="62" t="n">
        <v>20.7</v>
      </c>
      <c r="F54" s="60" t="s">
        <v>391</v>
      </c>
    </row>
    <row r="55" customFormat="false" ht="15" hidden="false" customHeight="false" outlineLevel="0" collapsed="false">
      <c r="A55" s="60" t="s">
        <v>819</v>
      </c>
      <c r="B55" s="60" t="s">
        <v>249</v>
      </c>
      <c r="C55" s="60" t="s">
        <v>339</v>
      </c>
      <c r="D55" s="61" t="n">
        <v>248.8</v>
      </c>
      <c r="E55" s="62" t="n">
        <v>20.7</v>
      </c>
      <c r="F55" s="60" t="s">
        <v>391</v>
      </c>
    </row>
    <row r="56" customFormat="false" ht="15" hidden="false" customHeight="false" outlineLevel="0" collapsed="false">
      <c r="A56" s="60" t="s">
        <v>820</v>
      </c>
      <c r="B56" s="60" t="s">
        <v>245</v>
      </c>
      <c r="C56" s="60" t="s">
        <v>340</v>
      </c>
      <c r="D56" s="61" t="n">
        <v>249.4</v>
      </c>
      <c r="E56" s="62" t="n">
        <v>20.8</v>
      </c>
      <c r="F56" s="60" t="s">
        <v>391</v>
      </c>
    </row>
    <row r="57" customFormat="false" ht="15" hidden="false" customHeight="false" outlineLevel="0" collapsed="false">
      <c r="A57" s="60" t="s">
        <v>821</v>
      </c>
      <c r="B57" s="60" t="s">
        <v>245</v>
      </c>
      <c r="C57" s="60" t="s">
        <v>340</v>
      </c>
      <c r="D57" s="61" t="n">
        <v>249.9</v>
      </c>
      <c r="E57" s="62" t="n">
        <v>20.8</v>
      </c>
      <c r="F57" s="60" t="s">
        <v>391</v>
      </c>
    </row>
    <row r="58" customFormat="false" ht="15" hidden="false" customHeight="false" outlineLevel="0" collapsed="false">
      <c r="A58" s="60" t="s">
        <v>822</v>
      </c>
      <c r="B58" s="60" t="s">
        <v>245</v>
      </c>
      <c r="C58" s="60" t="s">
        <v>340</v>
      </c>
      <c r="D58" s="61" t="n">
        <v>253.5</v>
      </c>
      <c r="E58" s="62" t="n">
        <v>21.1</v>
      </c>
      <c r="F58" s="60" t="s">
        <v>391</v>
      </c>
    </row>
    <row r="59" customFormat="false" ht="15" hidden="false" customHeight="false" outlineLevel="0" collapsed="false">
      <c r="A59" s="60" t="s">
        <v>823</v>
      </c>
      <c r="B59" s="60" t="s">
        <v>245</v>
      </c>
      <c r="C59" s="60" t="s">
        <v>340</v>
      </c>
      <c r="D59" s="61" t="n">
        <v>257</v>
      </c>
      <c r="E59" s="62" t="n">
        <v>21.4</v>
      </c>
      <c r="F59" s="60" t="s">
        <v>391</v>
      </c>
    </row>
    <row r="60" customFormat="false" ht="15" hidden="false" customHeight="false" outlineLevel="0" collapsed="false">
      <c r="A60" s="60" t="s">
        <v>824</v>
      </c>
      <c r="B60" s="60" t="s">
        <v>245</v>
      </c>
      <c r="C60" s="60" t="s">
        <v>340</v>
      </c>
      <c r="D60" s="61" t="n">
        <v>260.2</v>
      </c>
      <c r="E60" s="62" t="n">
        <v>21.7</v>
      </c>
      <c r="F60" s="60" t="s">
        <v>391</v>
      </c>
    </row>
    <row r="61" customFormat="false" ht="15" hidden="false" customHeight="false" outlineLevel="0" collapsed="false">
      <c r="A61" s="60" t="s">
        <v>825</v>
      </c>
      <c r="B61" s="60" t="s">
        <v>247</v>
      </c>
      <c r="C61" s="60" t="s">
        <v>348</v>
      </c>
      <c r="D61" s="61" t="n">
        <v>263.1</v>
      </c>
      <c r="E61" s="62" t="n">
        <v>21.9</v>
      </c>
      <c r="F61" s="60" t="s">
        <v>391</v>
      </c>
    </row>
    <row r="62" customFormat="false" ht="15" hidden="false" customHeight="false" outlineLevel="0" collapsed="false">
      <c r="A62" s="60" t="s">
        <v>826</v>
      </c>
      <c r="B62" s="60" t="s">
        <v>245</v>
      </c>
      <c r="C62" s="60" t="s">
        <v>340</v>
      </c>
      <c r="D62" s="61" t="n">
        <v>265.8</v>
      </c>
      <c r="E62" s="62" t="n">
        <v>22.2</v>
      </c>
      <c r="F62" s="60" t="s">
        <v>391</v>
      </c>
    </row>
    <row r="63" customFormat="false" ht="15" hidden="false" customHeight="false" outlineLevel="0" collapsed="false">
      <c r="A63" s="60" t="s">
        <v>827</v>
      </c>
      <c r="B63" s="60" t="s">
        <v>245</v>
      </c>
      <c r="C63" s="60" t="s">
        <v>340</v>
      </c>
      <c r="D63" s="61" t="n">
        <v>267.8</v>
      </c>
      <c r="E63" s="62" t="n">
        <v>22.3</v>
      </c>
      <c r="F63" s="60" t="s">
        <v>391</v>
      </c>
    </row>
    <row r="64" customFormat="false" ht="15" hidden="false" customHeight="false" outlineLevel="0" collapsed="false">
      <c r="A64" s="60" t="s">
        <v>828</v>
      </c>
      <c r="B64" s="60" t="s">
        <v>245</v>
      </c>
      <c r="C64" s="60" t="s">
        <v>340</v>
      </c>
      <c r="D64" s="61" t="n">
        <v>269.4</v>
      </c>
      <c r="E64" s="62" t="n">
        <v>22.5</v>
      </c>
      <c r="F64" s="60" t="s">
        <v>391</v>
      </c>
    </row>
    <row r="65" customFormat="false" ht="15" hidden="false" customHeight="false" outlineLevel="0" collapsed="false">
      <c r="A65" s="60" t="s">
        <v>829</v>
      </c>
      <c r="B65" s="60" t="s">
        <v>250</v>
      </c>
      <c r="C65" s="60" t="s">
        <v>339</v>
      </c>
      <c r="D65" s="61" t="n">
        <v>271.5</v>
      </c>
      <c r="E65" s="62" t="n">
        <v>22.6</v>
      </c>
      <c r="F65" s="60" t="s">
        <v>391</v>
      </c>
    </row>
    <row r="66" customFormat="false" ht="15" hidden="false" customHeight="false" outlineLevel="0" collapsed="false">
      <c r="A66" s="60" t="s">
        <v>830</v>
      </c>
      <c r="B66" s="60" t="s">
        <v>245</v>
      </c>
      <c r="C66" s="60" t="s">
        <v>340</v>
      </c>
      <c r="D66" s="61" t="n">
        <v>272.8</v>
      </c>
      <c r="E66" s="62" t="n">
        <v>22.7</v>
      </c>
      <c r="F66" s="60" t="s">
        <v>391</v>
      </c>
    </row>
    <row r="67" customFormat="false" ht="15" hidden="false" customHeight="false" outlineLevel="0" collapsed="false">
      <c r="A67" s="60" t="s">
        <v>831</v>
      </c>
      <c r="B67" s="60" t="s">
        <v>248</v>
      </c>
      <c r="C67" s="60" t="s">
        <v>339</v>
      </c>
      <c r="D67" s="61" t="n">
        <v>272.9</v>
      </c>
      <c r="E67" s="62" t="n">
        <v>22.7</v>
      </c>
      <c r="F67" s="60" t="s">
        <v>391</v>
      </c>
    </row>
    <row r="68" customFormat="false" ht="15" hidden="false" customHeight="false" outlineLevel="0" collapsed="false">
      <c r="A68" s="60" t="s">
        <v>832</v>
      </c>
      <c r="B68" s="60" t="s">
        <v>250</v>
      </c>
      <c r="C68" s="60" t="s">
        <v>339</v>
      </c>
      <c r="D68" s="61" t="n">
        <v>273.3</v>
      </c>
      <c r="E68" s="62" t="n">
        <v>22.8</v>
      </c>
      <c r="F68" s="60" t="s">
        <v>391</v>
      </c>
    </row>
    <row r="69" customFormat="false" ht="15" hidden="false" customHeight="false" outlineLevel="0" collapsed="false">
      <c r="A69" s="60" t="s">
        <v>833</v>
      </c>
      <c r="B69" s="60" t="s">
        <v>247</v>
      </c>
      <c r="C69" s="60" t="s">
        <v>348</v>
      </c>
      <c r="D69" s="61" t="n">
        <v>275.7</v>
      </c>
      <c r="E69" s="62" t="n">
        <v>23</v>
      </c>
      <c r="F69" s="60" t="s">
        <v>391</v>
      </c>
    </row>
    <row r="70" customFormat="false" ht="15" hidden="false" customHeight="false" outlineLevel="0" collapsed="false">
      <c r="A70" s="60" t="s">
        <v>834</v>
      </c>
      <c r="B70" s="60" t="s">
        <v>249</v>
      </c>
      <c r="C70" s="60" t="s">
        <v>339</v>
      </c>
      <c r="D70" s="61" t="n">
        <v>277.1</v>
      </c>
      <c r="E70" s="62" t="n">
        <v>23.1</v>
      </c>
      <c r="F70" s="60" t="s">
        <v>391</v>
      </c>
    </row>
    <row r="71" customFormat="false" ht="15" hidden="false" customHeight="false" outlineLevel="0" collapsed="false">
      <c r="A71" s="60" t="s">
        <v>835</v>
      </c>
      <c r="B71" s="60" t="s">
        <v>245</v>
      </c>
      <c r="C71" s="60" t="s">
        <v>340</v>
      </c>
      <c r="D71" s="61" t="n">
        <v>278.7</v>
      </c>
      <c r="E71" s="62" t="n">
        <v>23.2</v>
      </c>
      <c r="F71" s="60" t="s">
        <v>391</v>
      </c>
    </row>
    <row r="72" customFormat="false" ht="15" hidden="false" customHeight="false" outlineLevel="0" collapsed="false">
      <c r="A72" s="60" t="s">
        <v>836</v>
      </c>
      <c r="B72" s="60" t="s">
        <v>245</v>
      </c>
      <c r="C72" s="60" t="s">
        <v>340</v>
      </c>
      <c r="D72" s="61" t="n">
        <v>280.6</v>
      </c>
      <c r="E72" s="62" t="n">
        <v>23.4</v>
      </c>
      <c r="F72" s="60" t="s">
        <v>391</v>
      </c>
    </row>
    <row r="73" customFormat="false" ht="15" hidden="false" customHeight="false" outlineLevel="0" collapsed="false">
      <c r="A73" s="60" t="s">
        <v>837</v>
      </c>
      <c r="B73" s="60" t="s">
        <v>245</v>
      </c>
      <c r="C73" s="60" t="s">
        <v>340</v>
      </c>
      <c r="D73" s="61" t="n">
        <v>280.6</v>
      </c>
      <c r="E73" s="62" t="n">
        <v>23.4</v>
      </c>
      <c r="F73" s="60" t="s">
        <v>391</v>
      </c>
    </row>
    <row r="74" customFormat="false" ht="15" hidden="false" customHeight="false" outlineLevel="0" collapsed="false">
      <c r="A74" s="60" t="s">
        <v>838</v>
      </c>
      <c r="B74" s="60" t="s">
        <v>245</v>
      </c>
      <c r="C74" s="60" t="s">
        <v>340</v>
      </c>
      <c r="D74" s="61" t="n">
        <v>281.2</v>
      </c>
      <c r="E74" s="62" t="n">
        <v>23.4</v>
      </c>
      <c r="F74" s="60" t="s">
        <v>391</v>
      </c>
    </row>
    <row r="75" customFormat="false" ht="15" hidden="false" customHeight="false" outlineLevel="0" collapsed="false">
      <c r="A75" s="60" t="s">
        <v>839</v>
      </c>
      <c r="B75" s="60" t="s">
        <v>245</v>
      </c>
      <c r="C75" s="60" t="s">
        <v>340</v>
      </c>
      <c r="D75" s="61" t="n">
        <v>282.4</v>
      </c>
      <c r="E75" s="62" t="n">
        <v>23.5</v>
      </c>
      <c r="F75" s="60" t="s">
        <v>391</v>
      </c>
    </row>
    <row r="76" customFormat="false" ht="15" hidden="false" customHeight="false" outlineLevel="0" collapsed="false">
      <c r="A76" s="60" t="s">
        <v>840</v>
      </c>
      <c r="B76" s="60" t="s">
        <v>250</v>
      </c>
      <c r="C76" s="60" t="s">
        <v>346</v>
      </c>
      <c r="D76" s="61" t="n">
        <v>282.4</v>
      </c>
      <c r="E76" s="62" t="n">
        <v>23.5</v>
      </c>
      <c r="F76" s="60" t="s">
        <v>391</v>
      </c>
    </row>
    <row r="77" customFormat="false" ht="15" hidden="false" customHeight="false" outlineLevel="0" collapsed="false">
      <c r="A77" s="60" t="s">
        <v>841</v>
      </c>
      <c r="B77" s="60" t="s">
        <v>250</v>
      </c>
      <c r="C77" s="60" t="s">
        <v>339</v>
      </c>
      <c r="D77" s="61" t="n">
        <v>283.1</v>
      </c>
      <c r="E77" s="62" t="n">
        <v>23.6</v>
      </c>
      <c r="F77" s="60" t="s">
        <v>391</v>
      </c>
    </row>
    <row r="78" customFormat="false" ht="15" hidden="false" customHeight="false" outlineLevel="0" collapsed="false">
      <c r="A78" s="60" t="s">
        <v>842</v>
      </c>
      <c r="B78" s="60" t="s">
        <v>245</v>
      </c>
      <c r="C78" s="60" t="s">
        <v>340</v>
      </c>
      <c r="D78" s="61" t="n">
        <v>283.5</v>
      </c>
      <c r="E78" s="62" t="n">
        <v>23.6</v>
      </c>
      <c r="F78" s="60" t="s">
        <v>391</v>
      </c>
    </row>
    <row r="79" customFormat="false" ht="15" hidden="false" customHeight="false" outlineLevel="0" collapsed="false">
      <c r="A79" s="60" t="s">
        <v>843</v>
      </c>
      <c r="B79" s="60" t="s">
        <v>245</v>
      </c>
      <c r="C79" s="60" t="s">
        <v>340</v>
      </c>
      <c r="D79" s="61" t="n">
        <v>284</v>
      </c>
      <c r="E79" s="62" t="n">
        <v>23.7</v>
      </c>
      <c r="F79" s="60" t="s">
        <v>391</v>
      </c>
    </row>
    <row r="80" customFormat="false" ht="15" hidden="false" customHeight="false" outlineLevel="0" collapsed="false">
      <c r="A80" s="60" t="s">
        <v>844</v>
      </c>
      <c r="B80" s="60" t="s">
        <v>245</v>
      </c>
      <c r="C80" s="60" t="s">
        <v>340</v>
      </c>
      <c r="D80" s="61" t="n">
        <v>285.5</v>
      </c>
      <c r="E80" s="62" t="n">
        <v>23.8</v>
      </c>
      <c r="F80" s="60" t="s">
        <v>391</v>
      </c>
    </row>
    <row r="81" customFormat="false" ht="15" hidden="false" customHeight="false" outlineLevel="0" collapsed="false">
      <c r="A81" s="60" t="s">
        <v>845</v>
      </c>
      <c r="B81" s="60" t="s">
        <v>245</v>
      </c>
      <c r="C81" s="60" t="s">
        <v>340</v>
      </c>
      <c r="D81" s="61" t="n">
        <v>285.7</v>
      </c>
      <c r="E81" s="62" t="n">
        <v>23.8</v>
      </c>
      <c r="F81" s="60" t="s">
        <v>391</v>
      </c>
    </row>
    <row r="82" customFormat="false" ht="15" hidden="false" customHeight="false" outlineLevel="0" collapsed="false">
      <c r="A82" s="60" t="s">
        <v>846</v>
      </c>
      <c r="B82" s="60" t="s">
        <v>245</v>
      </c>
      <c r="C82" s="60" t="s">
        <v>340</v>
      </c>
      <c r="D82" s="61" t="n">
        <v>288.4</v>
      </c>
      <c r="E82" s="62" t="n">
        <v>24</v>
      </c>
      <c r="F82" s="60" t="s">
        <v>391</v>
      </c>
    </row>
    <row r="83" customFormat="false" ht="15" hidden="false" customHeight="false" outlineLevel="0" collapsed="false">
      <c r="A83" s="60" t="s">
        <v>847</v>
      </c>
      <c r="B83" s="60" t="s">
        <v>245</v>
      </c>
      <c r="C83" s="60" t="s">
        <v>340</v>
      </c>
      <c r="D83" s="61" t="n">
        <v>289</v>
      </c>
      <c r="E83" s="62" t="n">
        <v>24.1</v>
      </c>
      <c r="F83" s="60" t="s">
        <v>391</v>
      </c>
    </row>
    <row r="84" customFormat="false" ht="15" hidden="false" customHeight="false" outlineLevel="0" collapsed="false">
      <c r="A84" s="60" t="s">
        <v>848</v>
      </c>
      <c r="B84" s="60" t="s">
        <v>247</v>
      </c>
      <c r="C84" s="60" t="s">
        <v>348</v>
      </c>
      <c r="D84" s="61" t="n">
        <v>290.3</v>
      </c>
      <c r="E84" s="62" t="n">
        <v>24.2</v>
      </c>
      <c r="F84" s="60" t="s">
        <v>391</v>
      </c>
    </row>
    <row r="85" customFormat="false" ht="15" hidden="false" customHeight="false" outlineLevel="0" collapsed="false">
      <c r="A85" s="60" t="s">
        <v>849</v>
      </c>
      <c r="B85" s="60" t="s">
        <v>245</v>
      </c>
      <c r="C85" s="60" t="s">
        <v>340</v>
      </c>
      <c r="D85" s="61" t="n">
        <v>290.4</v>
      </c>
      <c r="E85" s="62" t="n">
        <v>24.2</v>
      </c>
      <c r="F85" s="60" t="s">
        <v>391</v>
      </c>
    </row>
    <row r="86" customFormat="false" ht="15" hidden="false" customHeight="false" outlineLevel="0" collapsed="false">
      <c r="A86" s="60" t="s">
        <v>850</v>
      </c>
      <c r="B86" s="60" t="s">
        <v>245</v>
      </c>
      <c r="C86" s="60" t="s">
        <v>340</v>
      </c>
      <c r="D86" s="61" t="n">
        <v>292.2</v>
      </c>
      <c r="E86" s="62" t="n">
        <v>24.4</v>
      </c>
      <c r="F86" s="60" t="s">
        <v>391</v>
      </c>
    </row>
    <row r="87" customFormat="false" ht="15" hidden="false" customHeight="false" outlineLevel="0" collapsed="false">
      <c r="A87" s="60" t="s">
        <v>851</v>
      </c>
      <c r="B87" s="60" t="s">
        <v>245</v>
      </c>
      <c r="C87" s="60" t="s">
        <v>340</v>
      </c>
      <c r="D87" s="61" t="n">
        <v>293.9</v>
      </c>
      <c r="E87" s="62" t="n">
        <v>24.5</v>
      </c>
      <c r="F87" s="60" t="s">
        <v>391</v>
      </c>
    </row>
    <row r="88" customFormat="false" ht="15" hidden="false" customHeight="false" outlineLevel="0" collapsed="false">
      <c r="A88" s="60" t="s">
        <v>852</v>
      </c>
      <c r="B88" s="60" t="s">
        <v>250</v>
      </c>
      <c r="C88" s="60" t="s">
        <v>339</v>
      </c>
      <c r="D88" s="61" t="n">
        <v>294.1</v>
      </c>
      <c r="E88" s="62" t="n">
        <v>24.5</v>
      </c>
      <c r="F88" s="60" t="s">
        <v>391</v>
      </c>
    </row>
    <row r="89" customFormat="false" ht="15" hidden="false" customHeight="false" outlineLevel="0" collapsed="false">
      <c r="A89" s="60" t="s">
        <v>853</v>
      </c>
      <c r="B89" s="60" t="s">
        <v>249</v>
      </c>
      <c r="C89" s="60" t="s">
        <v>339</v>
      </c>
      <c r="D89" s="61" t="n">
        <v>294.5</v>
      </c>
      <c r="E89" s="62" t="n">
        <v>24.5</v>
      </c>
      <c r="F89" s="60" t="s">
        <v>391</v>
      </c>
    </row>
    <row r="90" customFormat="false" ht="15" hidden="false" customHeight="false" outlineLevel="0" collapsed="false">
      <c r="A90" s="60" t="s">
        <v>854</v>
      </c>
      <c r="B90" s="60" t="s">
        <v>249</v>
      </c>
      <c r="C90" s="60" t="s">
        <v>339</v>
      </c>
      <c r="D90" s="61" t="n">
        <v>298</v>
      </c>
      <c r="E90" s="62" t="n">
        <v>24.8</v>
      </c>
      <c r="F90" s="60" t="s">
        <v>391</v>
      </c>
    </row>
    <row r="91" customFormat="false" ht="15" hidden="false" customHeight="false" outlineLevel="0" collapsed="false">
      <c r="A91" s="60" t="s">
        <v>855</v>
      </c>
      <c r="B91" s="60" t="s">
        <v>246</v>
      </c>
      <c r="C91" s="60" t="s">
        <v>344</v>
      </c>
      <c r="D91" s="61" t="n">
        <v>298.2</v>
      </c>
      <c r="E91" s="62" t="n">
        <v>24.9</v>
      </c>
      <c r="F91" s="60" t="s">
        <v>391</v>
      </c>
    </row>
    <row r="92" customFormat="false" ht="15" hidden="false" customHeight="false" outlineLevel="0" collapsed="false">
      <c r="A92" s="60" t="s">
        <v>856</v>
      </c>
      <c r="B92" s="60" t="s">
        <v>249</v>
      </c>
      <c r="C92" s="60" t="s">
        <v>339</v>
      </c>
      <c r="D92" s="61" t="n">
        <v>298.7</v>
      </c>
      <c r="E92" s="62" t="n">
        <v>24.9</v>
      </c>
      <c r="F92" s="60" t="s">
        <v>391</v>
      </c>
    </row>
    <row r="93" customFormat="false" ht="15" hidden="false" customHeight="false" outlineLevel="0" collapsed="false">
      <c r="A93" s="60" t="s">
        <v>857</v>
      </c>
      <c r="B93" s="60" t="s">
        <v>245</v>
      </c>
      <c r="C93" s="60" t="s">
        <v>340</v>
      </c>
      <c r="D93" s="61" t="n">
        <v>298.9</v>
      </c>
      <c r="E93" s="62" t="n">
        <v>24.9</v>
      </c>
      <c r="F93" s="60" t="s">
        <v>391</v>
      </c>
    </row>
    <row r="94" customFormat="false" ht="15" hidden="false" customHeight="false" outlineLevel="0" collapsed="false">
      <c r="A94" s="71" t="s">
        <v>858</v>
      </c>
      <c r="B94" s="71" t="s">
        <v>245</v>
      </c>
      <c r="C94" s="71" t="s">
        <v>340</v>
      </c>
      <c r="D94" s="72" t="n">
        <v>299.6</v>
      </c>
      <c r="E94" s="73" t="n">
        <v>25</v>
      </c>
      <c r="F94" s="71" t="s">
        <v>470</v>
      </c>
    </row>
    <row r="95" customFormat="false" ht="15" hidden="false" customHeight="false" outlineLevel="0" collapsed="false">
      <c r="A95" s="71" t="s">
        <v>859</v>
      </c>
      <c r="B95" s="71" t="s">
        <v>245</v>
      </c>
      <c r="C95" s="71" t="s">
        <v>340</v>
      </c>
      <c r="D95" s="72" t="n">
        <v>301.4</v>
      </c>
      <c r="E95" s="73" t="n">
        <v>25.1</v>
      </c>
      <c r="F95" s="71" t="s">
        <v>470</v>
      </c>
    </row>
    <row r="96" customFormat="false" ht="15" hidden="false" customHeight="false" outlineLevel="0" collapsed="false">
      <c r="A96" s="71" t="s">
        <v>860</v>
      </c>
      <c r="B96" s="71" t="s">
        <v>250</v>
      </c>
      <c r="C96" s="71" t="s">
        <v>339</v>
      </c>
      <c r="D96" s="72" t="n">
        <v>304.8</v>
      </c>
      <c r="E96" s="73" t="n">
        <v>25.4</v>
      </c>
      <c r="F96" s="71" t="s">
        <v>470</v>
      </c>
    </row>
    <row r="97" customFormat="false" ht="15" hidden="false" customHeight="false" outlineLevel="0" collapsed="false">
      <c r="A97" s="71" t="s">
        <v>861</v>
      </c>
      <c r="B97" s="71" t="s">
        <v>245</v>
      </c>
      <c r="C97" s="71" t="s">
        <v>340</v>
      </c>
      <c r="D97" s="72" t="n">
        <v>306.9</v>
      </c>
      <c r="E97" s="73" t="n">
        <v>25.6</v>
      </c>
      <c r="F97" s="71" t="s">
        <v>470</v>
      </c>
    </row>
    <row r="98" customFormat="false" ht="15" hidden="false" customHeight="false" outlineLevel="0" collapsed="false">
      <c r="A98" s="71" t="s">
        <v>862</v>
      </c>
      <c r="B98" s="71" t="s">
        <v>248</v>
      </c>
      <c r="C98" s="71" t="s">
        <v>339</v>
      </c>
      <c r="D98" s="72" t="n">
        <v>307.4</v>
      </c>
      <c r="E98" s="73" t="n">
        <v>25.6</v>
      </c>
      <c r="F98" s="71" t="s">
        <v>470</v>
      </c>
    </row>
    <row r="99" customFormat="false" ht="15" hidden="false" customHeight="false" outlineLevel="0" collapsed="false">
      <c r="A99" s="71" t="s">
        <v>863</v>
      </c>
      <c r="B99" s="71" t="s">
        <v>250</v>
      </c>
      <c r="C99" s="71" t="s">
        <v>339</v>
      </c>
      <c r="D99" s="72" t="n">
        <v>308.3</v>
      </c>
      <c r="E99" s="73" t="n">
        <v>25.7</v>
      </c>
      <c r="F99" s="71" t="s">
        <v>470</v>
      </c>
    </row>
    <row r="100" customFormat="false" ht="15" hidden="false" customHeight="false" outlineLevel="0" collapsed="false">
      <c r="A100" s="71" t="s">
        <v>864</v>
      </c>
      <c r="B100" s="71" t="s">
        <v>245</v>
      </c>
      <c r="C100" s="71" t="s">
        <v>340</v>
      </c>
      <c r="D100" s="72" t="n">
        <v>308.9</v>
      </c>
      <c r="E100" s="73" t="n">
        <v>25.7</v>
      </c>
      <c r="F100" s="71" t="s">
        <v>470</v>
      </c>
    </row>
    <row r="101" customFormat="false" ht="15" hidden="false" customHeight="false" outlineLevel="0" collapsed="false">
      <c r="A101" s="71" t="s">
        <v>865</v>
      </c>
      <c r="B101" s="71" t="s">
        <v>245</v>
      </c>
      <c r="C101" s="71" t="s">
        <v>340</v>
      </c>
      <c r="D101" s="72" t="n">
        <v>309.5</v>
      </c>
      <c r="E101" s="73" t="n">
        <v>25.8</v>
      </c>
      <c r="F101" s="71" t="s">
        <v>470</v>
      </c>
    </row>
    <row r="102" customFormat="false" ht="15" hidden="false" customHeight="false" outlineLevel="0" collapsed="false">
      <c r="A102" s="71" t="s">
        <v>866</v>
      </c>
      <c r="B102" s="71" t="s">
        <v>248</v>
      </c>
      <c r="C102" s="71" t="s">
        <v>339</v>
      </c>
      <c r="D102" s="72" t="n">
        <v>310.1</v>
      </c>
      <c r="E102" s="73" t="n">
        <v>25.8</v>
      </c>
      <c r="F102" s="71" t="s">
        <v>470</v>
      </c>
    </row>
    <row r="103" customFormat="false" ht="15" hidden="false" customHeight="false" outlineLevel="0" collapsed="false">
      <c r="A103" s="71" t="s">
        <v>867</v>
      </c>
      <c r="B103" s="71" t="s">
        <v>247</v>
      </c>
      <c r="C103" s="71" t="s">
        <v>348</v>
      </c>
      <c r="D103" s="72" t="n">
        <v>310.2</v>
      </c>
      <c r="E103" s="73" t="n">
        <v>25.9</v>
      </c>
      <c r="F103" s="71" t="s">
        <v>470</v>
      </c>
    </row>
    <row r="104" customFormat="false" ht="15" hidden="false" customHeight="false" outlineLevel="0" collapsed="false">
      <c r="A104" s="71" t="s">
        <v>868</v>
      </c>
      <c r="B104" s="71" t="s">
        <v>246</v>
      </c>
      <c r="C104" s="71" t="s">
        <v>360</v>
      </c>
      <c r="D104" s="72" t="n">
        <v>311.6</v>
      </c>
      <c r="E104" s="73" t="n">
        <v>26</v>
      </c>
      <c r="F104" s="71" t="s">
        <v>470</v>
      </c>
    </row>
    <row r="105" customFormat="false" ht="15" hidden="false" customHeight="false" outlineLevel="0" collapsed="false">
      <c r="A105" s="71" t="s">
        <v>869</v>
      </c>
      <c r="B105" s="71" t="s">
        <v>249</v>
      </c>
      <c r="C105" s="71" t="s">
        <v>339</v>
      </c>
      <c r="D105" s="72" t="n">
        <v>312.4</v>
      </c>
      <c r="E105" s="73" t="n">
        <v>26</v>
      </c>
      <c r="F105" s="71" t="s">
        <v>470</v>
      </c>
    </row>
    <row r="106" customFormat="false" ht="15" hidden="false" customHeight="false" outlineLevel="0" collapsed="false">
      <c r="A106" s="71" t="s">
        <v>870</v>
      </c>
      <c r="B106" s="71" t="s">
        <v>247</v>
      </c>
      <c r="C106" s="71" t="s">
        <v>348</v>
      </c>
      <c r="D106" s="72" t="n">
        <v>312.8</v>
      </c>
      <c r="E106" s="73" t="n">
        <v>26.1</v>
      </c>
      <c r="F106" s="71" t="s">
        <v>470</v>
      </c>
    </row>
    <row r="107" customFormat="false" ht="15" hidden="false" customHeight="false" outlineLevel="0" collapsed="false">
      <c r="A107" s="71" t="s">
        <v>871</v>
      </c>
      <c r="B107" s="71" t="s">
        <v>249</v>
      </c>
      <c r="C107" s="71" t="s">
        <v>339</v>
      </c>
      <c r="D107" s="72" t="n">
        <v>313.5</v>
      </c>
      <c r="E107" s="73" t="n">
        <v>26.1</v>
      </c>
      <c r="F107" s="71" t="s">
        <v>470</v>
      </c>
    </row>
    <row r="108" customFormat="false" ht="15" hidden="false" customHeight="false" outlineLevel="0" collapsed="false">
      <c r="A108" s="71" t="s">
        <v>872</v>
      </c>
      <c r="B108" s="71" t="s">
        <v>247</v>
      </c>
      <c r="C108" s="71" t="s">
        <v>348</v>
      </c>
      <c r="D108" s="72" t="n">
        <v>315.2</v>
      </c>
      <c r="E108" s="73" t="n">
        <v>26.3</v>
      </c>
      <c r="F108" s="71" t="s">
        <v>470</v>
      </c>
    </row>
    <row r="109" customFormat="false" ht="15" hidden="false" customHeight="false" outlineLevel="0" collapsed="false">
      <c r="A109" s="71" t="s">
        <v>873</v>
      </c>
      <c r="B109" s="71" t="s">
        <v>249</v>
      </c>
      <c r="C109" s="71" t="s">
        <v>346</v>
      </c>
      <c r="D109" s="72" t="n">
        <v>315.5</v>
      </c>
      <c r="E109" s="73" t="n">
        <v>26.3</v>
      </c>
      <c r="F109" s="71" t="s">
        <v>470</v>
      </c>
    </row>
    <row r="110" customFormat="false" ht="15" hidden="false" customHeight="false" outlineLevel="0" collapsed="false">
      <c r="A110" s="71" t="s">
        <v>874</v>
      </c>
      <c r="B110" s="71" t="s">
        <v>248</v>
      </c>
      <c r="C110" s="71" t="s">
        <v>339</v>
      </c>
      <c r="D110" s="72" t="n">
        <v>315.7</v>
      </c>
      <c r="E110" s="73" t="n">
        <v>26.3</v>
      </c>
      <c r="F110" s="71" t="s">
        <v>470</v>
      </c>
    </row>
    <row r="111" customFormat="false" ht="15" hidden="false" customHeight="false" outlineLevel="0" collapsed="false">
      <c r="A111" s="71" t="s">
        <v>875</v>
      </c>
      <c r="B111" s="71" t="s">
        <v>246</v>
      </c>
      <c r="C111" s="71" t="s">
        <v>339</v>
      </c>
      <c r="D111" s="72" t="n">
        <v>316.1</v>
      </c>
      <c r="E111" s="73" t="n">
        <v>26.3</v>
      </c>
      <c r="F111" s="71" t="s">
        <v>470</v>
      </c>
    </row>
    <row r="112" customFormat="false" ht="15" hidden="false" customHeight="false" outlineLevel="0" collapsed="false">
      <c r="A112" s="71" t="s">
        <v>876</v>
      </c>
      <c r="B112" s="71" t="s">
        <v>245</v>
      </c>
      <c r="C112" s="71" t="s">
        <v>340</v>
      </c>
      <c r="D112" s="72" t="n">
        <v>317.9</v>
      </c>
      <c r="E112" s="73" t="n">
        <v>26.5</v>
      </c>
      <c r="F112" s="71" t="s">
        <v>470</v>
      </c>
    </row>
    <row r="113" customFormat="false" ht="15" hidden="false" customHeight="false" outlineLevel="0" collapsed="false">
      <c r="A113" s="71" t="s">
        <v>877</v>
      </c>
      <c r="B113" s="71" t="s">
        <v>247</v>
      </c>
      <c r="C113" s="71" t="s">
        <v>345</v>
      </c>
      <c r="D113" s="72" t="n">
        <v>318.1</v>
      </c>
      <c r="E113" s="73" t="n">
        <v>26.5</v>
      </c>
      <c r="F113" s="71" t="s">
        <v>470</v>
      </c>
    </row>
    <row r="114" customFormat="false" ht="15" hidden="false" customHeight="false" outlineLevel="0" collapsed="false">
      <c r="A114" s="71" t="s">
        <v>878</v>
      </c>
      <c r="B114" s="71" t="s">
        <v>249</v>
      </c>
      <c r="C114" s="71" t="s">
        <v>339</v>
      </c>
      <c r="D114" s="72" t="n">
        <v>318.7</v>
      </c>
      <c r="E114" s="73" t="n">
        <v>26.6</v>
      </c>
      <c r="F114" s="71" t="s">
        <v>470</v>
      </c>
    </row>
    <row r="115" customFormat="false" ht="15" hidden="false" customHeight="false" outlineLevel="0" collapsed="false">
      <c r="A115" s="71" t="s">
        <v>879</v>
      </c>
      <c r="B115" s="71" t="s">
        <v>249</v>
      </c>
      <c r="C115" s="71" t="s">
        <v>339</v>
      </c>
      <c r="D115" s="72" t="n">
        <v>318.7</v>
      </c>
      <c r="E115" s="73" t="n">
        <v>26.6</v>
      </c>
      <c r="F115" s="71" t="s">
        <v>470</v>
      </c>
    </row>
    <row r="116" customFormat="false" ht="15" hidden="false" customHeight="false" outlineLevel="0" collapsed="false">
      <c r="A116" s="71" t="s">
        <v>880</v>
      </c>
      <c r="B116" s="71" t="s">
        <v>250</v>
      </c>
      <c r="C116" s="71" t="s">
        <v>346</v>
      </c>
      <c r="D116" s="72" t="n">
        <v>319.8</v>
      </c>
      <c r="E116" s="73" t="n">
        <v>26.7</v>
      </c>
      <c r="F116" s="71" t="s">
        <v>470</v>
      </c>
    </row>
    <row r="117" customFormat="false" ht="15" hidden="false" customHeight="false" outlineLevel="0" collapsed="false">
      <c r="A117" s="71" t="s">
        <v>881</v>
      </c>
      <c r="B117" s="71" t="s">
        <v>249</v>
      </c>
      <c r="C117" s="71" t="s">
        <v>339</v>
      </c>
      <c r="D117" s="72" t="n">
        <v>320.7</v>
      </c>
      <c r="E117" s="73" t="n">
        <v>26.7</v>
      </c>
      <c r="F117" s="71" t="s">
        <v>470</v>
      </c>
    </row>
    <row r="118" customFormat="false" ht="15" hidden="false" customHeight="false" outlineLevel="0" collapsed="false">
      <c r="A118" s="71" t="s">
        <v>882</v>
      </c>
      <c r="B118" s="71" t="s">
        <v>247</v>
      </c>
      <c r="C118" s="71" t="s">
        <v>344</v>
      </c>
      <c r="D118" s="72" t="n">
        <v>322.5</v>
      </c>
      <c r="E118" s="73" t="n">
        <v>26.9</v>
      </c>
      <c r="F118" s="71" t="s">
        <v>470</v>
      </c>
    </row>
    <row r="119" customFormat="false" ht="15" hidden="false" customHeight="false" outlineLevel="0" collapsed="false">
      <c r="A119" s="71" t="s">
        <v>883</v>
      </c>
      <c r="B119" s="71" t="s">
        <v>246</v>
      </c>
      <c r="C119" s="71" t="s">
        <v>348</v>
      </c>
      <c r="D119" s="72" t="n">
        <v>322.6</v>
      </c>
      <c r="E119" s="73" t="n">
        <v>26.9</v>
      </c>
      <c r="F119" s="71" t="s">
        <v>470</v>
      </c>
    </row>
    <row r="120" customFormat="false" ht="15" hidden="false" customHeight="false" outlineLevel="0" collapsed="false">
      <c r="A120" s="71" t="s">
        <v>884</v>
      </c>
      <c r="B120" s="71" t="s">
        <v>247</v>
      </c>
      <c r="C120" s="71" t="s">
        <v>344</v>
      </c>
      <c r="D120" s="72" t="n">
        <v>323.9</v>
      </c>
      <c r="E120" s="73" t="n">
        <v>27</v>
      </c>
      <c r="F120" s="71" t="s">
        <v>470</v>
      </c>
    </row>
    <row r="121" customFormat="false" ht="15" hidden="false" customHeight="false" outlineLevel="0" collapsed="false">
      <c r="A121" s="71" t="s">
        <v>885</v>
      </c>
      <c r="B121" s="71" t="s">
        <v>246</v>
      </c>
      <c r="C121" s="71" t="s">
        <v>344</v>
      </c>
      <c r="D121" s="72" t="n">
        <v>324.9</v>
      </c>
      <c r="E121" s="73" t="n">
        <v>27.1</v>
      </c>
      <c r="F121" s="71" t="s">
        <v>470</v>
      </c>
    </row>
    <row r="122" customFormat="false" ht="15" hidden="false" customHeight="false" outlineLevel="0" collapsed="false">
      <c r="A122" s="71" t="s">
        <v>886</v>
      </c>
      <c r="B122" s="71" t="s">
        <v>248</v>
      </c>
      <c r="C122" s="71" t="s">
        <v>339</v>
      </c>
      <c r="D122" s="72" t="n">
        <v>327.8</v>
      </c>
      <c r="E122" s="73" t="n">
        <v>27.3</v>
      </c>
      <c r="F122" s="71" t="s">
        <v>470</v>
      </c>
    </row>
    <row r="123" customFormat="false" ht="15" hidden="false" customHeight="false" outlineLevel="0" collapsed="false">
      <c r="A123" s="71" t="s">
        <v>887</v>
      </c>
      <c r="B123" s="71" t="s">
        <v>248</v>
      </c>
      <c r="C123" s="71" t="s">
        <v>339</v>
      </c>
      <c r="D123" s="72" t="n">
        <v>331.1</v>
      </c>
      <c r="E123" s="73" t="n">
        <v>27.6</v>
      </c>
      <c r="F123" s="71" t="s">
        <v>470</v>
      </c>
    </row>
    <row r="124" customFormat="false" ht="15" hidden="false" customHeight="false" outlineLevel="0" collapsed="false">
      <c r="A124" s="71" t="s">
        <v>888</v>
      </c>
      <c r="B124" s="71" t="s">
        <v>248</v>
      </c>
      <c r="C124" s="71" t="s">
        <v>339</v>
      </c>
      <c r="D124" s="72" t="n">
        <v>331.4</v>
      </c>
      <c r="E124" s="73" t="n">
        <v>27.6</v>
      </c>
      <c r="F124" s="71" t="s">
        <v>470</v>
      </c>
    </row>
    <row r="125" customFormat="false" ht="15" hidden="false" customHeight="false" outlineLevel="0" collapsed="false">
      <c r="A125" s="71" t="s">
        <v>889</v>
      </c>
      <c r="B125" s="71" t="s">
        <v>245</v>
      </c>
      <c r="C125" s="71" t="s">
        <v>340</v>
      </c>
      <c r="D125" s="72" t="n">
        <v>333.6</v>
      </c>
      <c r="E125" s="73" t="n">
        <v>27.8</v>
      </c>
      <c r="F125" s="71" t="s">
        <v>470</v>
      </c>
    </row>
    <row r="126" customFormat="false" ht="15" hidden="false" customHeight="false" outlineLevel="0" collapsed="false">
      <c r="A126" s="71" t="s">
        <v>890</v>
      </c>
      <c r="B126" s="71" t="s">
        <v>250</v>
      </c>
      <c r="C126" s="71" t="s">
        <v>339</v>
      </c>
      <c r="D126" s="72" t="n">
        <v>334</v>
      </c>
      <c r="E126" s="73" t="n">
        <v>27.8</v>
      </c>
      <c r="F126" s="71" t="s">
        <v>470</v>
      </c>
    </row>
    <row r="127" customFormat="false" ht="15" hidden="false" customHeight="false" outlineLevel="0" collapsed="false">
      <c r="A127" s="71" t="s">
        <v>891</v>
      </c>
      <c r="B127" s="71" t="s">
        <v>247</v>
      </c>
      <c r="C127" s="71" t="s">
        <v>348</v>
      </c>
      <c r="D127" s="72" t="n">
        <v>337.2</v>
      </c>
      <c r="E127" s="73" t="n">
        <v>28.1</v>
      </c>
      <c r="F127" s="71" t="s">
        <v>470</v>
      </c>
    </row>
    <row r="128" customFormat="false" ht="15" hidden="false" customHeight="false" outlineLevel="0" collapsed="false">
      <c r="A128" s="71" t="s">
        <v>892</v>
      </c>
      <c r="B128" s="71" t="s">
        <v>248</v>
      </c>
      <c r="C128" s="71" t="s">
        <v>346</v>
      </c>
      <c r="D128" s="72" t="n">
        <v>338.4</v>
      </c>
      <c r="E128" s="73" t="n">
        <v>28.2</v>
      </c>
      <c r="F128" s="71" t="s">
        <v>470</v>
      </c>
    </row>
    <row r="129" customFormat="false" ht="15" hidden="false" customHeight="false" outlineLevel="0" collapsed="false">
      <c r="A129" s="71" t="s">
        <v>893</v>
      </c>
      <c r="B129" s="71" t="s">
        <v>247</v>
      </c>
      <c r="C129" s="71" t="s">
        <v>348</v>
      </c>
      <c r="D129" s="72" t="n">
        <v>338.7</v>
      </c>
      <c r="E129" s="73" t="n">
        <v>28.2</v>
      </c>
      <c r="F129" s="71" t="s">
        <v>470</v>
      </c>
    </row>
    <row r="130" customFormat="false" ht="15" hidden="false" customHeight="false" outlineLevel="0" collapsed="false">
      <c r="A130" s="71" t="s">
        <v>894</v>
      </c>
      <c r="B130" s="71" t="s">
        <v>246</v>
      </c>
      <c r="C130" s="71" t="s">
        <v>346</v>
      </c>
      <c r="D130" s="72" t="n">
        <v>338.8</v>
      </c>
      <c r="E130" s="73" t="n">
        <v>28.2</v>
      </c>
      <c r="F130" s="71" t="s">
        <v>470</v>
      </c>
    </row>
    <row r="131" customFormat="false" ht="15" hidden="false" customHeight="false" outlineLevel="0" collapsed="false">
      <c r="A131" s="71" t="s">
        <v>895</v>
      </c>
      <c r="B131" s="71" t="s">
        <v>250</v>
      </c>
      <c r="C131" s="71" t="s">
        <v>346</v>
      </c>
      <c r="D131" s="72" t="n">
        <v>341.5</v>
      </c>
      <c r="E131" s="73" t="n">
        <v>28.5</v>
      </c>
      <c r="F131" s="71" t="s">
        <v>470</v>
      </c>
    </row>
    <row r="132" customFormat="false" ht="15" hidden="false" customHeight="false" outlineLevel="0" collapsed="false">
      <c r="A132" s="71" t="s">
        <v>896</v>
      </c>
      <c r="B132" s="71" t="s">
        <v>249</v>
      </c>
      <c r="C132" s="71" t="s">
        <v>339</v>
      </c>
      <c r="D132" s="72" t="n">
        <v>341.8</v>
      </c>
      <c r="E132" s="73" t="n">
        <v>28.5</v>
      </c>
      <c r="F132" s="71" t="s">
        <v>470</v>
      </c>
    </row>
    <row r="133" customFormat="false" ht="15" hidden="false" customHeight="false" outlineLevel="0" collapsed="false">
      <c r="A133" s="71" t="s">
        <v>897</v>
      </c>
      <c r="B133" s="71" t="s">
        <v>246</v>
      </c>
      <c r="C133" s="71" t="s">
        <v>355</v>
      </c>
      <c r="D133" s="72" t="n">
        <v>343</v>
      </c>
      <c r="E133" s="73" t="n">
        <v>28.6</v>
      </c>
      <c r="F133" s="71" t="s">
        <v>470</v>
      </c>
    </row>
    <row r="134" customFormat="false" ht="15" hidden="false" customHeight="false" outlineLevel="0" collapsed="false">
      <c r="A134" s="71" t="s">
        <v>898</v>
      </c>
      <c r="B134" s="71" t="s">
        <v>248</v>
      </c>
      <c r="C134" s="71" t="s">
        <v>339</v>
      </c>
      <c r="D134" s="72" t="n">
        <v>344.2</v>
      </c>
      <c r="E134" s="73" t="n">
        <v>28.7</v>
      </c>
      <c r="F134" s="71" t="s">
        <v>470</v>
      </c>
    </row>
    <row r="135" customFormat="false" ht="15" hidden="false" customHeight="false" outlineLevel="0" collapsed="false">
      <c r="A135" s="71" t="s">
        <v>899</v>
      </c>
      <c r="B135" s="71" t="s">
        <v>248</v>
      </c>
      <c r="C135" s="71" t="s">
        <v>339</v>
      </c>
      <c r="D135" s="72" t="n">
        <v>345.6</v>
      </c>
      <c r="E135" s="73" t="n">
        <v>28.8</v>
      </c>
      <c r="F135" s="71" t="s">
        <v>470</v>
      </c>
    </row>
    <row r="136" customFormat="false" ht="15" hidden="false" customHeight="false" outlineLevel="0" collapsed="false">
      <c r="A136" s="71" t="s">
        <v>900</v>
      </c>
      <c r="B136" s="71" t="s">
        <v>249</v>
      </c>
      <c r="C136" s="71" t="s">
        <v>339</v>
      </c>
      <c r="D136" s="72" t="n">
        <v>347.2</v>
      </c>
      <c r="E136" s="73" t="n">
        <v>28.9</v>
      </c>
      <c r="F136" s="71" t="s">
        <v>470</v>
      </c>
    </row>
    <row r="137" customFormat="false" ht="15" hidden="false" customHeight="false" outlineLevel="0" collapsed="false">
      <c r="A137" s="71" t="s">
        <v>901</v>
      </c>
      <c r="B137" s="71" t="s">
        <v>248</v>
      </c>
      <c r="C137" s="71" t="s">
        <v>339</v>
      </c>
      <c r="D137" s="72" t="n">
        <v>348.7</v>
      </c>
      <c r="E137" s="73" t="n">
        <v>29.1</v>
      </c>
      <c r="F137" s="71" t="s">
        <v>470</v>
      </c>
    </row>
    <row r="138" customFormat="false" ht="15" hidden="false" customHeight="false" outlineLevel="0" collapsed="false">
      <c r="A138" s="71" t="s">
        <v>902</v>
      </c>
      <c r="B138" s="71" t="s">
        <v>246</v>
      </c>
      <c r="C138" s="71" t="s">
        <v>359</v>
      </c>
      <c r="D138" s="72" t="n">
        <v>351.8</v>
      </c>
      <c r="E138" s="73" t="n">
        <v>29.3</v>
      </c>
      <c r="F138" s="71" t="s">
        <v>470</v>
      </c>
    </row>
    <row r="139" customFormat="false" ht="15" hidden="false" customHeight="false" outlineLevel="0" collapsed="false">
      <c r="A139" s="71" t="s">
        <v>903</v>
      </c>
      <c r="B139" s="71" t="s">
        <v>246</v>
      </c>
      <c r="C139" s="71" t="s">
        <v>346</v>
      </c>
      <c r="D139" s="72" t="n">
        <v>352.1</v>
      </c>
      <c r="E139" s="73" t="n">
        <v>29.3</v>
      </c>
      <c r="F139" s="71" t="s">
        <v>470</v>
      </c>
    </row>
    <row r="140" customFormat="false" ht="15" hidden="false" customHeight="false" outlineLevel="0" collapsed="false">
      <c r="A140" s="71" t="s">
        <v>904</v>
      </c>
      <c r="B140" s="71" t="s">
        <v>246</v>
      </c>
      <c r="C140" s="71" t="s">
        <v>339</v>
      </c>
      <c r="D140" s="72" t="n">
        <v>356</v>
      </c>
      <c r="E140" s="73" t="n">
        <v>29.7</v>
      </c>
      <c r="F140" s="71" t="s">
        <v>470</v>
      </c>
    </row>
    <row r="141" customFormat="false" ht="15" hidden="false" customHeight="false" outlineLevel="0" collapsed="false">
      <c r="A141" s="71" t="s">
        <v>905</v>
      </c>
      <c r="B141" s="71" t="s">
        <v>248</v>
      </c>
      <c r="C141" s="71" t="s">
        <v>339</v>
      </c>
      <c r="D141" s="72" t="n">
        <v>359.2</v>
      </c>
      <c r="E141" s="73" t="n">
        <v>29.9</v>
      </c>
      <c r="F141" s="71" t="s">
        <v>470</v>
      </c>
    </row>
    <row r="142" customFormat="false" ht="15" hidden="false" customHeight="false" outlineLevel="0" collapsed="false">
      <c r="A142" s="71" t="s">
        <v>906</v>
      </c>
      <c r="B142" s="71" t="s">
        <v>250</v>
      </c>
      <c r="C142" s="71" t="s">
        <v>346</v>
      </c>
      <c r="D142" s="72" t="n">
        <v>359.3</v>
      </c>
      <c r="E142" s="73" t="n">
        <v>29.9</v>
      </c>
      <c r="F142" s="71" t="s">
        <v>470</v>
      </c>
    </row>
    <row r="143" customFormat="false" ht="15" hidden="false" customHeight="false" outlineLevel="0" collapsed="false">
      <c r="A143" s="71" t="s">
        <v>907</v>
      </c>
      <c r="B143" s="71" t="s">
        <v>249</v>
      </c>
      <c r="C143" s="71" t="s">
        <v>339</v>
      </c>
      <c r="D143" s="72" t="n">
        <v>360.5</v>
      </c>
      <c r="E143" s="73" t="n">
        <v>30</v>
      </c>
      <c r="F143" s="71" t="s">
        <v>470</v>
      </c>
    </row>
    <row r="144" customFormat="false" ht="15" hidden="false" customHeight="false" outlineLevel="0" collapsed="false">
      <c r="A144" s="71" t="s">
        <v>908</v>
      </c>
      <c r="B144" s="71" t="s">
        <v>246</v>
      </c>
      <c r="C144" s="71" t="s">
        <v>344</v>
      </c>
      <c r="D144" s="72" t="n">
        <v>360.9</v>
      </c>
      <c r="E144" s="73" t="n">
        <v>30.1</v>
      </c>
      <c r="F144" s="71" t="s">
        <v>470</v>
      </c>
    </row>
    <row r="145" customFormat="false" ht="15" hidden="false" customHeight="false" outlineLevel="0" collapsed="false">
      <c r="A145" s="71" t="s">
        <v>909</v>
      </c>
      <c r="B145" s="71" t="s">
        <v>247</v>
      </c>
      <c r="C145" s="71" t="s">
        <v>346</v>
      </c>
      <c r="D145" s="72" t="n">
        <v>362.6</v>
      </c>
      <c r="E145" s="73" t="n">
        <v>30.2</v>
      </c>
      <c r="F145" s="71" t="s">
        <v>470</v>
      </c>
    </row>
    <row r="146" customFormat="false" ht="15" hidden="false" customHeight="false" outlineLevel="0" collapsed="false">
      <c r="A146" s="71" t="s">
        <v>910</v>
      </c>
      <c r="B146" s="71" t="s">
        <v>249</v>
      </c>
      <c r="C146" s="71" t="s">
        <v>348</v>
      </c>
      <c r="D146" s="72" t="n">
        <v>367.8</v>
      </c>
      <c r="E146" s="73" t="n">
        <v>30.7</v>
      </c>
      <c r="F146" s="71" t="s">
        <v>470</v>
      </c>
    </row>
    <row r="147" customFormat="false" ht="15" hidden="false" customHeight="false" outlineLevel="0" collapsed="false">
      <c r="A147" s="71" t="s">
        <v>911</v>
      </c>
      <c r="B147" s="71" t="s">
        <v>246</v>
      </c>
      <c r="C147" s="71" t="s">
        <v>355</v>
      </c>
      <c r="D147" s="72" t="n">
        <v>368.3</v>
      </c>
      <c r="E147" s="73" t="n">
        <v>30.7</v>
      </c>
      <c r="F147" s="71" t="s">
        <v>470</v>
      </c>
    </row>
    <row r="148" customFormat="false" ht="15" hidden="false" customHeight="false" outlineLevel="0" collapsed="false">
      <c r="A148" s="71" t="s">
        <v>912</v>
      </c>
      <c r="B148" s="71" t="s">
        <v>246</v>
      </c>
      <c r="C148" s="71" t="s">
        <v>344</v>
      </c>
      <c r="D148" s="72" t="n">
        <v>370.8</v>
      </c>
      <c r="E148" s="73" t="n">
        <v>30.9</v>
      </c>
      <c r="F148" s="71" t="s">
        <v>470</v>
      </c>
    </row>
    <row r="149" customFormat="false" ht="15" hidden="false" customHeight="false" outlineLevel="0" collapsed="false">
      <c r="A149" s="71" t="s">
        <v>913</v>
      </c>
      <c r="B149" s="71" t="s">
        <v>248</v>
      </c>
      <c r="C149" s="71" t="s">
        <v>339</v>
      </c>
      <c r="D149" s="72" t="n">
        <v>377.1</v>
      </c>
      <c r="E149" s="73" t="n">
        <v>31.4</v>
      </c>
      <c r="F149" s="71" t="s">
        <v>470</v>
      </c>
    </row>
    <row r="150" customFormat="false" ht="15" hidden="false" customHeight="false" outlineLevel="0" collapsed="false">
      <c r="A150" s="71" t="s">
        <v>914</v>
      </c>
      <c r="B150" s="71" t="s">
        <v>246</v>
      </c>
      <c r="C150" s="71" t="s">
        <v>344</v>
      </c>
      <c r="D150" s="72" t="n">
        <v>380.5</v>
      </c>
      <c r="E150" s="73" t="n">
        <v>31.7</v>
      </c>
      <c r="F150" s="71" t="s">
        <v>470</v>
      </c>
    </row>
    <row r="151" customFormat="false" ht="15" hidden="false" customHeight="false" outlineLevel="0" collapsed="false">
      <c r="A151" s="71" t="s">
        <v>915</v>
      </c>
      <c r="B151" s="71" t="s">
        <v>247</v>
      </c>
      <c r="C151" s="71" t="s">
        <v>346</v>
      </c>
      <c r="D151" s="72" t="n">
        <v>382.7</v>
      </c>
      <c r="E151" s="73" t="n">
        <v>31.9</v>
      </c>
      <c r="F151" s="71" t="s">
        <v>470</v>
      </c>
    </row>
    <row r="152" customFormat="false" ht="15" hidden="false" customHeight="false" outlineLevel="0" collapsed="false">
      <c r="A152" s="71" t="s">
        <v>916</v>
      </c>
      <c r="B152" s="71" t="s">
        <v>248</v>
      </c>
      <c r="C152" s="71" t="s">
        <v>339</v>
      </c>
      <c r="D152" s="72" t="n">
        <v>383.2</v>
      </c>
      <c r="E152" s="73" t="n">
        <v>31.9</v>
      </c>
      <c r="F152" s="71" t="s">
        <v>470</v>
      </c>
    </row>
    <row r="153" customFormat="false" ht="15" hidden="false" customHeight="false" outlineLevel="0" collapsed="false">
      <c r="A153" s="71" t="s">
        <v>917</v>
      </c>
      <c r="B153" s="71" t="s">
        <v>247</v>
      </c>
      <c r="C153" s="71" t="s">
        <v>346</v>
      </c>
      <c r="D153" s="72" t="n">
        <v>388</v>
      </c>
      <c r="E153" s="73" t="n">
        <v>32.3</v>
      </c>
      <c r="F153" s="71" t="s">
        <v>470</v>
      </c>
    </row>
    <row r="154" customFormat="false" ht="15" hidden="false" customHeight="false" outlineLevel="0" collapsed="false">
      <c r="A154" s="71" t="s">
        <v>918</v>
      </c>
      <c r="B154" s="71" t="s">
        <v>246</v>
      </c>
      <c r="C154" s="71" t="s">
        <v>346</v>
      </c>
      <c r="D154" s="72" t="n">
        <v>389.2</v>
      </c>
      <c r="E154" s="73" t="n">
        <v>32.4</v>
      </c>
      <c r="F154" s="71" t="s">
        <v>470</v>
      </c>
    </row>
    <row r="155" customFormat="false" ht="15" hidden="false" customHeight="false" outlineLevel="0" collapsed="false">
      <c r="A155" s="71" t="s">
        <v>919</v>
      </c>
      <c r="B155" s="71" t="s">
        <v>247</v>
      </c>
      <c r="C155" s="71" t="s">
        <v>346</v>
      </c>
      <c r="D155" s="72" t="n">
        <v>394.2</v>
      </c>
      <c r="E155" s="73" t="n">
        <v>32.9</v>
      </c>
      <c r="F155" s="71" t="s">
        <v>470</v>
      </c>
    </row>
    <row r="156" customFormat="false" ht="15" hidden="false" customHeight="false" outlineLevel="0" collapsed="false">
      <c r="A156" s="71" t="s">
        <v>920</v>
      </c>
      <c r="B156" s="71" t="s">
        <v>246</v>
      </c>
      <c r="C156" s="71" t="s">
        <v>346</v>
      </c>
      <c r="D156" s="72" t="n">
        <v>424.2</v>
      </c>
      <c r="E156" s="73" t="n">
        <v>35.4</v>
      </c>
      <c r="F156" s="71" t="s">
        <v>470</v>
      </c>
    </row>
  </sheetData>
  <mergeCells count="7">
    <mergeCell ref="A1:F1"/>
    <mergeCell ref="A10:F10"/>
    <mergeCell ref="A11:F11"/>
    <mergeCell ref="A12:F12"/>
    <mergeCell ref="A13:F13"/>
    <mergeCell ref="A14:F1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921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26228.8</v>
      </c>
    </row>
    <row r="4" customFormat="false" ht="15" hidden="false" customHeight="false" outlineLevel="0" collapsed="false">
      <c r="A4" s="39" t="s">
        <v>134</v>
      </c>
      <c r="B4" s="0" t="n">
        <v>132</v>
      </c>
    </row>
    <row r="5" customFormat="false" ht="15" hidden="false" customHeight="false" outlineLevel="0" collapsed="false">
      <c r="A5" s="39" t="s">
        <v>368</v>
      </c>
      <c r="B5" s="53" t="s">
        <v>922</v>
      </c>
    </row>
    <row r="6" customFormat="false" ht="15" hidden="false" customHeight="false" outlineLevel="0" collapsed="false">
      <c r="A6" s="39" t="s">
        <v>370</v>
      </c>
      <c r="B6" s="54" t="n">
        <v>14.1431469747023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0.282862939494045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923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924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925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926</v>
      </c>
      <c r="B14" s="58"/>
      <c r="C14" s="58"/>
      <c r="D14" s="58"/>
      <c r="E14" s="58"/>
      <c r="F14" s="58"/>
    </row>
    <row r="16" customFormat="false" ht="15" hidden="false" customHeight="false" outlineLevel="0" collapsed="false">
      <c r="A16" s="59" t="s">
        <v>378</v>
      </c>
    </row>
    <row r="17" customFormat="false" ht="26.85" hidden="false" customHeight="false" outlineLevel="0" collapsed="false">
      <c r="A17" s="6" t="s">
        <v>210</v>
      </c>
      <c r="B17" s="6" t="s">
        <v>134</v>
      </c>
      <c r="C17" s="6" t="s">
        <v>132</v>
      </c>
      <c r="D17" s="6" t="s">
        <v>379</v>
      </c>
      <c r="E17" s="6" t="s">
        <v>380</v>
      </c>
    </row>
    <row r="18" customFormat="false" ht="15" hidden="false" customHeight="false" outlineLevel="0" collapsed="false">
      <c r="A18" s="63" t="s">
        <v>232</v>
      </c>
      <c r="B18" s="63" t="n">
        <v>31</v>
      </c>
      <c r="C18" s="64" t="n">
        <v>6622.5</v>
      </c>
      <c r="D18" s="65" t="n">
        <v>213.6</v>
      </c>
      <c r="E18" s="65" t="n">
        <v>15.2</v>
      </c>
    </row>
    <row r="19" customFormat="false" ht="15" hidden="false" customHeight="false" outlineLevel="0" collapsed="false">
      <c r="A19" s="63" t="s">
        <v>233</v>
      </c>
      <c r="B19" s="63" t="n">
        <v>18</v>
      </c>
      <c r="C19" s="64" t="n">
        <v>4911</v>
      </c>
      <c r="D19" s="65" t="n">
        <v>272.8</v>
      </c>
      <c r="E19" s="65" t="n">
        <v>19.4</v>
      </c>
    </row>
    <row r="20" customFormat="false" ht="15" hidden="false" customHeight="false" outlineLevel="0" collapsed="false">
      <c r="A20" s="63" t="s">
        <v>234</v>
      </c>
      <c r="B20" s="63" t="n">
        <v>25</v>
      </c>
      <c r="C20" s="64" t="n">
        <v>4421.7</v>
      </c>
      <c r="D20" s="65" t="n">
        <v>176.9</v>
      </c>
      <c r="E20" s="65" t="n">
        <v>12.6</v>
      </c>
    </row>
    <row r="21" customFormat="false" ht="15" hidden="false" customHeight="false" outlineLevel="0" collapsed="false">
      <c r="A21" s="63" t="s">
        <v>235</v>
      </c>
      <c r="B21" s="63" t="n">
        <v>15</v>
      </c>
      <c r="C21" s="64" t="n">
        <v>3464.9</v>
      </c>
      <c r="D21" s="65" t="n">
        <v>231</v>
      </c>
      <c r="E21" s="65" t="n">
        <v>16.4</v>
      </c>
    </row>
    <row r="22" customFormat="false" ht="15" hidden="false" customHeight="false" outlineLevel="0" collapsed="false">
      <c r="A22" s="63" t="s">
        <v>236</v>
      </c>
      <c r="B22" s="63" t="n">
        <v>17</v>
      </c>
      <c r="C22" s="64" t="n">
        <v>3076.7</v>
      </c>
      <c r="D22" s="65" t="n">
        <v>181</v>
      </c>
      <c r="E22" s="65" t="n">
        <v>12.9</v>
      </c>
    </row>
    <row r="23" customFormat="false" ht="15" hidden="false" customHeight="false" outlineLevel="0" collapsed="false">
      <c r="A23" s="63" t="s">
        <v>237</v>
      </c>
      <c r="B23" s="63" t="n">
        <v>17</v>
      </c>
      <c r="C23" s="64" t="n">
        <v>2200.2</v>
      </c>
      <c r="D23" s="65" t="n">
        <v>129.4</v>
      </c>
      <c r="E23" s="65" t="n">
        <v>9.2</v>
      </c>
    </row>
    <row r="24" customFormat="false" ht="15" hidden="false" customHeight="false" outlineLevel="0" collapsed="false">
      <c r="A24" s="63" t="s">
        <v>238</v>
      </c>
      <c r="B24" s="63" t="n">
        <v>16</v>
      </c>
      <c r="C24" s="64" t="n">
        <v>1531.8</v>
      </c>
      <c r="D24" s="65" t="n">
        <v>95.7</v>
      </c>
      <c r="E24" s="65" t="n">
        <v>6.8</v>
      </c>
    </row>
    <row r="26" customFormat="false" ht="15" hidden="false" customHeight="false" outlineLevel="0" collapsed="false">
      <c r="A26" s="59" t="s">
        <v>381</v>
      </c>
    </row>
    <row r="27" customFormat="false" ht="26.85" hidden="false" customHeight="false" outlineLevel="0" collapsed="false">
      <c r="A27" s="6" t="s">
        <v>161</v>
      </c>
      <c r="B27" s="6" t="s">
        <v>162</v>
      </c>
      <c r="C27" s="6" t="s">
        <v>163</v>
      </c>
      <c r="D27" s="6" t="s">
        <v>382</v>
      </c>
      <c r="E27" s="6" t="s">
        <v>383</v>
      </c>
      <c r="F27" s="6" t="s">
        <v>384</v>
      </c>
    </row>
    <row r="28" customFormat="false" ht="15" hidden="false" customHeight="false" outlineLevel="0" collapsed="false">
      <c r="A28" s="66" t="s">
        <v>174</v>
      </c>
      <c r="B28" s="67" t="n">
        <v>164390</v>
      </c>
      <c r="C28" s="67" t="n">
        <v>6668</v>
      </c>
      <c r="D28" s="68" t="n">
        <v>0</v>
      </c>
      <c r="E28" s="68" t="n">
        <v>0.967</v>
      </c>
      <c r="F28" s="69" t="n">
        <v>0.3</v>
      </c>
    </row>
    <row r="29" customFormat="false" ht="15" hidden="false" customHeight="false" outlineLevel="0" collapsed="false">
      <c r="A29" s="66" t="s">
        <v>43</v>
      </c>
      <c r="B29" s="67" t="n">
        <v>123730</v>
      </c>
      <c r="C29" s="67" t="n">
        <v>20388</v>
      </c>
      <c r="D29" s="68" t="n">
        <v>0</v>
      </c>
      <c r="E29" s="68" t="n">
        <v>0</v>
      </c>
      <c r="F29" s="69" t="n">
        <v>0</v>
      </c>
    </row>
    <row r="30" customFormat="false" ht="15" hidden="false" customHeight="false" outlineLevel="0" collapsed="false">
      <c r="A30" s="66" t="s">
        <v>175</v>
      </c>
      <c r="B30" s="67" t="n">
        <v>49943</v>
      </c>
      <c r="C30" s="67" t="n">
        <v>0</v>
      </c>
      <c r="D30" s="68" t="n">
        <v>0.286</v>
      </c>
      <c r="E30" s="68" t="n">
        <v>0.896</v>
      </c>
      <c r="F30" s="69" t="n">
        <v>1</v>
      </c>
    </row>
    <row r="31" customFormat="false" ht="15" hidden="false" customHeight="false" outlineLevel="0" collapsed="false">
      <c r="A31" s="66" t="s">
        <v>49</v>
      </c>
      <c r="B31" s="67" t="n">
        <v>35027</v>
      </c>
      <c r="C31" s="67" t="n">
        <v>0</v>
      </c>
      <c r="D31" s="68" t="n">
        <v>0</v>
      </c>
      <c r="E31" s="68" t="n">
        <v>0</v>
      </c>
      <c r="F31" s="69" t="n">
        <v>0</v>
      </c>
    </row>
    <row r="32" customFormat="false" ht="15" hidden="false" customHeight="false" outlineLevel="0" collapsed="false">
      <c r="A32" s="66" t="s">
        <v>45</v>
      </c>
      <c r="B32" s="67" t="n">
        <v>8924</v>
      </c>
      <c r="C32" s="67" t="n">
        <v>1624</v>
      </c>
      <c r="D32" s="68" t="n">
        <v>0</v>
      </c>
      <c r="E32" s="68" t="n">
        <v>0</v>
      </c>
      <c r="F32" s="69" t="n">
        <v>0</v>
      </c>
    </row>
    <row r="34" customFormat="false" ht="15" hidden="false" customHeight="false" outlineLevel="0" collapsed="false">
      <c r="A34" s="70" t="s">
        <v>385</v>
      </c>
      <c r="B34" s="70"/>
      <c r="C34" s="70"/>
      <c r="D34" s="70"/>
      <c r="E34" s="70"/>
      <c r="F34" s="70"/>
    </row>
    <row r="35" customFormat="false" ht="15" hidden="false" customHeight="false" outlineLevel="0" collapsed="false">
      <c r="A35" s="6" t="s">
        <v>275</v>
      </c>
      <c r="B35" s="6" t="s">
        <v>386</v>
      </c>
      <c r="C35" s="6" t="s">
        <v>276</v>
      </c>
      <c r="D35" s="6" t="s">
        <v>132</v>
      </c>
      <c r="E35" s="6" t="s">
        <v>387</v>
      </c>
      <c r="F35" s="6" t="s">
        <v>75</v>
      </c>
    </row>
    <row r="36" customFormat="false" ht="15" hidden="false" customHeight="false" outlineLevel="0" collapsed="false">
      <c r="A36" s="77" t="s">
        <v>927</v>
      </c>
      <c r="B36" s="77" t="s">
        <v>234</v>
      </c>
      <c r="C36" s="77" t="s">
        <v>339</v>
      </c>
      <c r="D36" s="78" t="n">
        <v>0</v>
      </c>
      <c r="E36" s="79" t="n">
        <v>0</v>
      </c>
      <c r="F36" s="77" t="s">
        <v>531</v>
      </c>
    </row>
    <row r="37" customFormat="false" ht="15" hidden="false" customHeight="false" outlineLevel="0" collapsed="false">
      <c r="A37" s="77" t="s">
        <v>928</v>
      </c>
      <c r="B37" s="77" t="s">
        <v>234</v>
      </c>
      <c r="C37" s="77" t="s">
        <v>344</v>
      </c>
      <c r="D37" s="78" t="n">
        <v>0</v>
      </c>
      <c r="E37" s="79" t="n">
        <v>0</v>
      </c>
      <c r="F37" s="77" t="s">
        <v>531</v>
      </c>
    </row>
    <row r="38" customFormat="false" ht="15" hidden="false" customHeight="false" outlineLevel="0" collapsed="false">
      <c r="A38" s="77" t="s">
        <v>929</v>
      </c>
      <c r="B38" s="77" t="s">
        <v>238</v>
      </c>
      <c r="C38" s="77" t="s">
        <v>342</v>
      </c>
      <c r="D38" s="78" t="n">
        <v>0</v>
      </c>
      <c r="E38" s="79" t="n">
        <v>0</v>
      </c>
      <c r="F38" s="77" t="s">
        <v>531</v>
      </c>
    </row>
    <row r="39" customFormat="false" ht="15" hidden="false" customHeight="false" outlineLevel="0" collapsed="false">
      <c r="A39" s="77" t="s">
        <v>930</v>
      </c>
      <c r="B39" s="77" t="s">
        <v>234</v>
      </c>
      <c r="C39" s="77" t="s">
        <v>342</v>
      </c>
      <c r="D39" s="78" t="n">
        <v>0</v>
      </c>
      <c r="E39" s="79" t="n">
        <v>0</v>
      </c>
      <c r="F39" s="77" t="s">
        <v>531</v>
      </c>
    </row>
    <row r="40" customFormat="false" ht="15" hidden="false" customHeight="false" outlineLevel="0" collapsed="false">
      <c r="A40" s="77" t="s">
        <v>931</v>
      </c>
      <c r="B40" s="77" t="s">
        <v>234</v>
      </c>
      <c r="C40" s="77" t="s">
        <v>341</v>
      </c>
      <c r="D40" s="78" t="n">
        <v>0</v>
      </c>
      <c r="E40" s="79" t="n">
        <v>0</v>
      </c>
      <c r="F40" s="77" t="s">
        <v>531</v>
      </c>
    </row>
    <row r="41" customFormat="false" ht="15" hidden="false" customHeight="false" outlineLevel="0" collapsed="false">
      <c r="A41" s="77" t="s">
        <v>932</v>
      </c>
      <c r="B41" s="77" t="s">
        <v>234</v>
      </c>
      <c r="C41" s="77" t="s">
        <v>339</v>
      </c>
      <c r="D41" s="78" t="n">
        <v>0</v>
      </c>
      <c r="E41" s="79" t="n">
        <v>0</v>
      </c>
      <c r="F41" s="77" t="s">
        <v>531</v>
      </c>
    </row>
    <row r="42" customFormat="false" ht="15" hidden="false" customHeight="false" outlineLevel="0" collapsed="false">
      <c r="A42" s="77" t="s">
        <v>933</v>
      </c>
      <c r="B42" s="77" t="s">
        <v>234</v>
      </c>
      <c r="C42" s="77" t="s">
        <v>343</v>
      </c>
      <c r="D42" s="78" t="n">
        <v>0</v>
      </c>
      <c r="E42" s="79" t="n">
        <v>0</v>
      </c>
      <c r="F42" s="77" t="s">
        <v>531</v>
      </c>
    </row>
    <row r="43" customFormat="false" ht="15" hidden="false" customHeight="false" outlineLevel="0" collapsed="false">
      <c r="A43" s="77" t="s">
        <v>934</v>
      </c>
      <c r="B43" s="77" t="s">
        <v>234</v>
      </c>
      <c r="C43" s="77" t="s">
        <v>345</v>
      </c>
      <c r="D43" s="78" t="n">
        <v>0</v>
      </c>
      <c r="E43" s="79" t="n">
        <v>0</v>
      </c>
      <c r="F43" s="77" t="s">
        <v>531</v>
      </c>
    </row>
    <row r="44" customFormat="false" ht="15" hidden="false" customHeight="false" outlineLevel="0" collapsed="false">
      <c r="A44" s="77" t="s">
        <v>935</v>
      </c>
      <c r="B44" s="77" t="s">
        <v>236</v>
      </c>
      <c r="C44" s="77" t="s">
        <v>341</v>
      </c>
      <c r="D44" s="78" t="n">
        <v>0</v>
      </c>
      <c r="E44" s="79" t="n">
        <v>0</v>
      </c>
      <c r="F44" s="77" t="s">
        <v>531</v>
      </c>
    </row>
    <row r="45" customFormat="false" ht="15" hidden="false" customHeight="false" outlineLevel="0" collapsed="false">
      <c r="A45" s="63" t="s">
        <v>936</v>
      </c>
      <c r="B45" s="63" t="s">
        <v>232</v>
      </c>
      <c r="C45" s="63" t="s">
        <v>358</v>
      </c>
      <c r="D45" s="64" t="n">
        <v>0</v>
      </c>
      <c r="E45" s="65" t="n">
        <v>0</v>
      </c>
      <c r="F45" s="63" t="s">
        <v>389</v>
      </c>
    </row>
    <row r="46" customFormat="false" ht="15" hidden="false" customHeight="false" outlineLevel="0" collapsed="false">
      <c r="A46" s="63" t="s">
        <v>937</v>
      </c>
      <c r="B46" s="63" t="s">
        <v>232</v>
      </c>
      <c r="C46" s="63" t="s">
        <v>358</v>
      </c>
      <c r="D46" s="64" t="n">
        <v>0</v>
      </c>
      <c r="E46" s="65" t="n">
        <v>0</v>
      </c>
      <c r="F46" s="63" t="s">
        <v>389</v>
      </c>
    </row>
    <row r="47" customFormat="false" ht="15" hidden="false" customHeight="false" outlineLevel="0" collapsed="false">
      <c r="A47" s="63" t="s">
        <v>938</v>
      </c>
      <c r="B47" s="63" t="s">
        <v>232</v>
      </c>
      <c r="C47" s="63" t="s">
        <v>358</v>
      </c>
      <c r="D47" s="64" t="n">
        <v>0</v>
      </c>
      <c r="E47" s="65" t="n">
        <v>0</v>
      </c>
      <c r="F47" s="63" t="s">
        <v>389</v>
      </c>
    </row>
    <row r="48" customFormat="false" ht="15" hidden="false" customHeight="false" outlineLevel="0" collapsed="false">
      <c r="A48" s="60" t="s">
        <v>939</v>
      </c>
      <c r="B48" s="60" t="s">
        <v>234</v>
      </c>
      <c r="C48" s="60" t="s">
        <v>339</v>
      </c>
      <c r="D48" s="61" t="n">
        <v>1</v>
      </c>
      <c r="E48" s="62" t="n">
        <v>0.1</v>
      </c>
      <c r="F48" s="60" t="s">
        <v>391</v>
      </c>
    </row>
    <row r="49" customFormat="false" ht="15" hidden="false" customHeight="false" outlineLevel="0" collapsed="false">
      <c r="A49" s="60" t="s">
        <v>940</v>
      </c>
      <c r="B49" s="60" t="s">
        <v>234</v>
      </c>
      <c r="C49" s="60" t="s">
        <v>346</v>
      </c>
      <c r="D49" s="61" t="n">
        <v>1</v>
      </c>
      <c r="E49" s="62" t="n">
        <v>0.1</v>
      </c>
      <c r="F49" s="60" t="s">
        <v>391</v>
      </c>
    </row>
    <row r="50" customFormat="false" ht="15" hidden="false" customHeight="false" outlineLevel="0" collapsed="false">
      <c r="A50" s="60" t="s">
        <v>941</v>
      </c>
      <c r="B50" s="60" t="s">
        <v>234</v>
      </c>
      <c r="C50" s="60" t="s">
        <v>341</v>
      </c>
      <c r="D50" s="61" t="n">
        <v>1</v>
      </c>
      <c r="E50" s="62" t="n">
        <v>0.1</v>
      </c>
      <c r="F50" s="60" t="s">
        <v>391</v>
      </c>
    </row>
    <row r="51" customFormat="false" ht="15" hidden="false" customHeight="false" outlineLevel="0" collapsed="false">
      <c r="A51" s="60" t="s">
        <v>942</v>
      </c>
      <c r="B51" s="60" t="s">
        <v>236</v>
      </c>
      <c r="C51" s="60" t="s">
        <v>341</v>
      </c>
      <c r="D51" s="61" t="n">
        <v>2</v>
      </c>
      <c r="E51" s="62" t="n">
        <v>0.1</v>
      </c>
      <c r="F51" s="60" t="s">
        <v>391</v>
      </c>
    </row>
    <row r="52" customFormat="false" ht="15" hidden="false" customHeight="false" outlineLevel="0" collapsed="false">
      <c r="A52" s="60" t="s">
        <v>943</v>
      </c>
      <c r="B52" s="60" t="s">
        <v>232</v>
      </c>
      <c r="C52" s="60" t="s">
        <v>358</v>
      </c>
      <c r="D52" s="61" t="n">
        <v>2.4</v>
      </c>
      <c r="E52" s="62" t="n">
        <v>0.2</v>
      </c>
      <c r="F52" s="60" t="s">
        <v>391</v>
      </c>
    </row>
    <row r="53" customFormat="false" ht="15" hidden="false" customHeight="false" outlineLevel="0" collapsed="false">
      <c r="A53" s="60" t="s">
        <v>944</v>
      </c>
      <c r="B53" s="60" t="s">
        <v>238</v>
      </c>
      <c r="C53" s="60" t="s">
        <v>348</v>
      </c>
      <c r="D53" s="61" t="n">
        <v>3.2</v>
      </c>
      <c r="E53" s="62" t="n">
        <v>0.2</v>
      </c>
      <c r="F53" s="60" t="s">
        <v>391</v>
      </c>
    </row>
    <row r="54" customFormat="false" ht="15" hidden="false" customHeight="false" outlineLevel="0" collapsed="false">
      <c r="A54" s="60" t="s">
        <v>945</v>
      </c>
      <c r="B54" s="60" t="s">
        <v>237</v>
      </c>
      <c r="C54" s="60" t="s">
        <v>339</v>
      </c>
      <c r="D54" s="61" t="n">
        <v>3.6</v>
      </c>
      <c r="E54" s="62" t="n">
        <v>0.3</v>
      </c>
      <c r="F54" s="60" t="s">
        <v>391</v>
      </c>
    </row>
    <row r="55" customFormat="false" ht="15" hidden="false" customHeight="false" outlineLevel="0" collapsed="false">
      <c r="A55" s="60" t="s">
        <v>946</v>
      </c>
      <c r="B55" s="60" t="s">
        <v>238</v>
      </c>
      <c r="C55" s="60" t="s">
        <v>346</v>
      </c>
      <c r="D55" s="61" t="n">
        <v>5</v>
      </c>
      <c r="E55" s="62" t="n">
        <v>0.4</v>
      </c>
      <c r="F55" s="60" t="s">
        <v>391</v>
      </c>
    </row>
    <row r="56" customFormat="false" ht="15" hidden="false" customHeight="false" outlineLevel="0" collapsed="false">
      <c r="A56" s="60" t="s">
        <v>947</v>
      </c>
      <c r="B56" s="60" t="s">
        <v>237</v>
      </c>
      <c r="C56" s="60" t="s">
        <v>339</v>
      </c>
      <c r="D56" s="61" t="n">
        <v>5.1</v>
      </c>
      <c r="E56" s="62" t="n">
        <v>0.4</v>
      </c>
      <c r="F56" s="60" t="s">
        <v>391</v>
      </c>
    </row>
    <row r="57" customFormat="false" ht="15" hidden="false" customHeight="false" outlineLevel="0" collapsed="false">
      <c r="A57" s="60" t="s">
        <v>693</v>
      </c>
      <c r="B57" s="60" t="s">
        <v>237</v>
      </c>
      <c r="C57" s="60" t="s">
        <v>346</v>
      </c>
      <c r="D57" s="61" t="n">
        <v>14</v>
      </c>
      <c r="E57" s="62" t="n">
        <v>1</v>
      </c>
      <c r="F57" s="60" t="s">
        <v>391</v>
      </c>
    </row>
    <row r="58" customFormat="false" ht="15" hidden="false" customHeight="false" outlineLevel="0" collapsed="false">
      <c r="A58" s="60" t="s">
        <v>948</v>
      </c>
      <c r="B58" s="60" t="s">
        <v>232</v>
      </c>
      <c r="C58" s="60" t="s">
        <v>358</v>
      </c>
      <c r="D58" s="61" t="n">
        <v>14</v>
      </c>
      <c r="E58" s="62" t="n">
        <v>1</v>
      </c>
      <c r="F58" s="60" t="s">
        <v>391</v>
      </c>
    </row>
    <row r="59" customFormat="false" ht="15" hidden="false" customHeight="false" outlineLevel="0" collapsed="false">
      <c r="A59" s="60" t="s">
        <v>949</v>
      </c>
      <c r="B59" s="60" t="s">
        <v>238</v>
      </c>
      <c r="C59" s="60" t="s">
        <v>346</v>
      </c>
      <c r="D59" s="61" t="n">
        <v>20</v>
      </c>
      <c r="E59" s="62" t="n">
        <v>1.4</v>
      </c>
      <c r="F59" s="60" t="s">
        <v>391</v>
      </c>
    </row>
    <row r="60" customFormat="false" ht="15" hidden="false" customHeight="false" outlineLevel="0" collapsed="false">
      <c r="A60" s="60" t="s">
        <v>950</v>
      </c>
      <c r="B60" s="60" t="s">
        <v>237</v>
      </c>
      <c r="C60" s="60" t="s">
        <v>339</v>
      </c>
      <c r="D60" s="61" t="n">
        <v>22.3</v>
      </c>
      <c r="E60" s="62" t="n">
        <v>1.6</v>
      </c>
      <c r="F60" s="60" t="s">
        <v>391</v>
      </c>
    </row>
    <row r="61" customFormat="false" ht="15" hidden="false" customHeight="false" outlineLevel="0" collapsed="false">
      <c r="A61" s="60" t="s">
        <v>951</v>
      </c>
      <c r="B61" s="60" t="s">
        <v>236</v>
      </c>
      <c r="C61" s="60" t="s">
        <v>341</v>
      </c>
      <c r="D61" s="61" t="n">
        <v>30.3</v>
      </c>
      <c r="E61" s="62" t="n">
        <v>2.2</v>
      </c>
      <c r="F61" s="60" t="s">
        <v>391</v>
      </c>
    </row>
    <row r="62" customFormat="false" ht="15" hidden="false" customHeight="false" outlineLevel="0" collapsed="false">
      <c r="A62" s="60" t="s">
        <v>952</v>
      </c>
      <c r="B62" s="60" t="s">
        <v>237</v>
      </c>
      <c r="C62" s="60" t="s">
        <v>339</v>
      </c>
      <c r="D62" s="61" t="n">
        <v>33.2</v>
      </c>
      <c r="E62" s="62" t="n">
        <v>2.4</v>
      </c>
      <c r="F62" s="60" t="s">
        <v>391</v>
      </c>
    </row>
    <row r="63" customFormat="false" ht="15" hidden="false" customHeight="false" outlineLevel="0" collapsed="false">
      <c r="A63" s="60" t="s">
        <v>953</v>
      </c>
      <c r="B63" s="60" t="s">
        <v>232</v>
      </c>
      <c r="C63" s="60" t="s">
        <v>358</v>
      </c>
      <c r="D63" s="61" t="n">
        <v>38.8</v>
      </c>
      <c r="E63" s="62" t="n">
        <v>2.8</v>
      </c>
      <c r="F63" s="60" t="s">
        <v>391</v>
      </c>
    </row>
    <row r="64" customFormat="false" ht="15" hidden="false" customHeight="false" outlineLevel="0" collapsed="false">
      <c r="A64" s="60" t="s">
        <v>954</v>
      </c>
      <c r="B64" s="60" t="s">
        <v>237</v>
      </c>
      <c r="C64" s="60" t="s">
        <v>346</v>
      </c>
      <c r="D64" s="61" t="n">
        <v>48.3</v>
      </c>
      <c r="E64" s="62" t="n">
        <v>3.4</v>
      </c>
      <c r="F64" s="60" t="s">
        <v>391</v>
      </c>
    </row>
    <row r="65" customFormat="false" ht="15" hidden="false" customHeight="false" outlineLevel="0" collapsed="false">
      <c r="A65" s="60" t="s">
        <v>955</v>
      </c>
      <c r="B65" s="60" t="s">
        <v>238</v>
      </c>
      <c r="C65" s="60" t="s">
        <v>341</v>
      </c>
      <c r="D65" s="61" t="n">
        <v>56.2</v>
      </c>
      <c r="E65" s="62" t="n">
        <v>4</v>
      </c>
      <c r="F65" s="60" t="s">
        <v>391</v>
      </c>
    </row>
    <row r="66" customFormat="false" ht="15" hidden="false" customHeight="false" outlineLevel="0" collapsed="false">
      <c r="A66" s="60" t="s">
        <v>956</v>
      </c>
      <c r="B66" s="60" t="s">
        <v>236</v>
      </c>
      <c r="C66" s="60" t="s">
        <v>339</v>
      </c>
      <c r="D66" s="61" t="n">
        <v>57.2</v>
      </c>
      <c r="E66" s="62" t="n">
        <v>4.1</v>
      </c>
      <c r="F66" s="60" t="s">
        <v>391</v>
      </c>
    </row>
    <row r="67" customFormat="false" ht="15" hidden="false" customHeight="false" outlineLevel="0" collapsed="false">
      <c r="A67" s="60" t="s">
        <v>957</v>
      </c>
      <c r="B67" s="60" t="s">
        <v>237</v>
      </c>
      <c r="C67" s="60" t="s">
        <v>344</v>
      </c>
      <c r="D67" s="61" t="n">
        <v>57.9</v>
      </c>
      <c r="E67" s="62" t="n">
        <v>4.1</v>
      </c>
      <c r="F67" s="60" t="s">
        <v>391</v>
      </c>
    </row>
    <row r="68" customFormat="false" ht="15" hidden="false" customHeight="false" outlineLevel="0" collapsed="false">
      <c r="A68" s="60" t="s">
        <v>958</v>
      </c>
      <c r="B68" s="60" t="s">
        <v>232</v>
      </c>
      <c r="C68" s="60" t="s">
        <v>358</v>
      </c>
      <c r="D68" s="61" t="n">
        <v>64.6</v>
      </c>
      <c r="E68" s="62" t="n">
        <v>4.6</v>
      </c>
      <c r="F68" s="60" t="s">
        <v>391</v>
      </c>
    </row>
    <row r="69" customFormat="false" ht="15" hidden="false" customHeight="false" outlineLevel="0" collapsed="false">
      <c r="A69" s="60" t="s">
        <v>959</v>
      </c>
      <c r="B69" s="60" t="s">
        <v>232</v>
      </c>
      <c r="C69" s="60" t="s">
        <v>358</v>
      </c>
      <c r="D69" s="61" t="n">
        <v>70.2</v>
      </c>
      <c r="E69" s="62" t="n">
        <v>5</v>
      </c>
      <c r="F69" s="60" t="s">
        <v>391</v>
      </c>
    </row>
    <row r="70" customFormat="false" ht="15" hidden="false" customHeight="false" outlineLevel="0" collapsed="false">
      <c r="A70" s="60" t="s">
        <v>960</v>
      </c>
      <c r="B70" s="60" t="s">
        <v>232</v>
      </c>
      <c r="C70" s="60" t="s">
        <v>358</v>
      </c>
      <c r="D70" s="61" t="n">
        <v>71.6</v>
      </c>
      <c r="E70" s="62" t="n">
        <v>5.1</v>
      </c>
      <c r="F70" s="60" t="s">
        <v>391</v>
      </c>
    </row>
    <row r="71" customFormat="false" ht="15" hidden="false" customHeight="false" outlineLevel="0" collapsed="false">
      <c r="A71" s="60" t="s">
        <v>961</v>
      </c>
      <c r="B71" s="60" t="s">
        <v>232</v>
      </c>
      <c r="C71" s="60" t="s">
        <v>358</v>
      </c>
      <c r="D71" s="61" t="n">
        <v>80.8</v>
      </c>
      <c r="E71" s="62" t="n">
        <v>5.8</v>
      </c>
      <c r="F71" s="60" t="s">
        <v>391</v>
      </c>
    </row>
    <row r="72" customFormat="false" ht="15" hidden="false" customHeight="false" outlineLevel="0" collapsed="false">
      <c r="A72" s="60" t="s">
        <v>962</v>
      </c>
      <c r="B72" s="60" t="s">
        <v>237</v>
      </c>
      <c r="C72" s="60" t="s">
        <v>345</v>
      </c>
      <c r="D72" s="61" t="n">
        <v>98.7</v>
      </c>
      <c r="E72" s="62" t="n">
        <v>7</v>
      </c>
      <c r="F72" s="60" t="s">
        <v>391</v>
      </c>
    </row>
    <row r="73" customFormat="false" ht="15" hidden="false" customHeight="false" outlineLevel="0" collapsed="false">
      <c r="A73" s="60" t="s">
        <v>963</v>
      </c>
      <c r="B73" s="60" t="s">
        <v>237</v>
      </c>
      <c r="C73" s="60" t="s">
        <v>344</v>
      </c>
      <c r="D73" s="61" t="n">
        <v>102.3</v>
      </c>
      <c r="E73" s="62" t="n">
        <v>7.3</v>
      </c>
      <c r="F73" s="60" t="s">
        <v>391</v>
      </c>
    </row>
    <row r="74" customFormat="false" ht="15" hidden="false" customHeight="false" outlineLevel="0" collapsed="false">
      <c r="A74" s="60" t="s">
        <v>964</v>
      </c>
      <c r="B74" s="60" t="s">
        <v>238</v>
      </c>
      <c r="C74" s="60" t="s">
        <v>345</v>
      </c>
      <c r="D74" s="61" t="n">
        <v>119.3</v>
      </c>
      <c r="E74" s="62" t="n">
        <v>8.5</v>
      </c>
      <c r="F74" s="60" t="s">
        <v>391</v>
      </c>
    </row>
    <row r="75" customFormat="false" ht="15" hidden="false" customHeight="false" outlineLevel="0" collapsed="false">
      <c r="A75" s="60" t="s">
        <v>965</v>
      </c>
      <c r="B75" s="60" t="s">
        <v>235</v>
      </c>
      <c r="C75" s="60" t="s">
        <v>352</v>
      </c>
      <c r="D75" s="61" t="n">
        <v>127.3</v>
      </c>
      <c r="E75" s="62" t="n">
        <v>9.1</v>
      </c>
      <c r="F75" s="60" t="s">
        <v>391</v>
      </c>
    </row>
    <row r="76" customFormat="false" ht="15" hidden="false" customHeight="false" outlineLevel="0" collapsed="false">
      <c r="A76" s="60" t="s">
        <v>966</v>
      </c>
      <c r="B76" s="60" t="s">
        <v>232</v>
      </c>
      <c r="C76" s="60" t="s">
        <v>340</v>
      </c>
      <c r="D76" s="61" t="n">
        <v>129.7</v>
      </c>
      <c r="E76" s="62" t="n">
        <v>9.2</v>
      </c>
      <c r="F76" s="60" t="s">
        <v>391</v>
      </c>
    </row>
    <row r="77" customFormat="false" ht="15" hidden="false" customHeight="false" outlineLevel="0" collapsed="false">
      <c r="A77" s="60" t="s">
        <v>967</v>
      </c>
      <c r="B77" s="60" t="s">
        <v>232</v>
      </c>
      <c r="C77" s="60" t="s">
        <v>358</v>
      </c>
      <c r="D77" s="61" t="n">
        <v>131.2</v>
      </c>
      <c r="E77" s="62" t="n">
        <v>9.3</v>
      </c>
      <c r="F77" s="60" t="s">
        <v>391</v>
      </c>
    </row>
    <row r="78" customFormat="false" ht="15" hidden="false" customHeight="false" outlineLevel="0" collapsed="false">
      <c r="A78" s="60" t="s">
        <v>968</v>
      </c>
      <c r="B78" s="60" t="s">
        <v>236</v>
      </c>
      <c r="C78" s="60" t="s">
        <v>341</v>
      </c>
      <c r="D78" s="61" t="n">
        <v>132.7</v>
      </c>
      <c r="E78" s="62" t="n">
        <v>9.4</v>
      </c>
      <c r="F78" s="60" t="s">
        <v>391</v>
      </c>
    </row>
    <row r="79" customFormat="false" ht="15" hidden="false" customHeight="false" outlineLevel="0" collapsed="false">
      <c r="A79" s="60" t="s">
        <v>969</v>
      </c>
      <c r="B79" s="60" t="s">
        <v>238</v>
      </c>
      <c r="C79" s="60" t="s">
        <v>346</v>
      </c>
      <c r="D79" s="61" t="n">
        <v>136</v>
      </c>
      <c r="E79" s="62" t="n">
        <v>9.7</v>
      </c>
      <c r="F79" s="60" t="s">
        <v>391</v>
      </c>
    </row>
    <row r="80" customFormat="false" ht="15" hidden="false" customHeight="false" outlineLevel="0" collapsed="false">
      <c r="A80" s="60" t="s">
        <v>970</v>
      </c>
      <c r="B80" s="60" t="s">
        <v>238</v>
      </c>
      <c r="C80" s="60" t="s">
        <v>344</v>
      </c>
      <c r="D80" s="61" t="n">
        <v>138.4</v>
      </c>
      <c r="E80" s="62" t="n">
        <v>9.9</v>
      </c>
      <c r="F80" s="60" t="s">
        <v>391</v>
      </c>
    </row>
    <row r="81" customFormat="false" ht="15" hidden="false" customHeight="false" outlineLevel="0" collapsed="false">
      <c r="A81" s="60" t="s">
        <v>971</v>
      </c>
      <c r="B81" s="60" t="s">
        <v>232</v>
      </c>
      <c r="C81" s="60" t="s">
        <v>340</v>
      </c>
      <c r="D81" s="61" t="n">
        <v>139.4</v>
      </c>
      <c r="E81" s="62" t="n">
        <v>9.9</v>
      </c>
      <c r="F81" s="60" t="s">
        <v>391</v>
      </c>
    </row>
    <row r="82" customFormat="false" ht="15" hidden="false" customHeight="false" outlineLevel="0" collapsed="false">
      <c r="A82" s="60" t="s">
        <v>972</v>
      </c>
      <c r="B82" s="60" t="s">
        <v>238</v>
      </c>
      <c r="C82" s="60" t="s">
        <v>344</v>
      </c>
      <c r="D82" s="61" t="n">
        <v>145.4</v>
      </c>
      <c r="E82" s="62" t="n">
        <v>10.3</v>
      </c>
      <c r="F82" s="60" t="s">
        <v>391</v>
      </c>
    </row>
    <row r="83" customFormat="false" ht="15" hidden="false" customHeight="false" outlineLevel="0" collapsed="false">
      <c r="A83" s="60" t="s">
        <v>973</v>
      </c>
      <c r="B83" s="60" t="s">
        <v>235</v>
      </c>
      <c r="C83" s="60" t="s">
        <v>352</v>
      </c>
      <c r="D83" s="61" t="n">
        <v>148.9</v>
      </c>
      <c r="E83" s="62" t="n">
        <v>10.6</v>
      </c>
      <c r="F83" s="60" t="s">
        <v>391</v>
      </c>
    </row>
    <row r="84" customFormat="false" ht="15" hidden="false" customHeight="false" outlineLevel="0" collapsed="false">
      <c r="A84" s="60" t="s">
        <v>974</v>
      </c>
      <c r="B84" s="60" t="s">
        <v>238</v>
      </c>
      <c r="C84" s="60" t="s">
        <v>339</v>
      </c>
      <c r="D84" s="61" t="n">
        <v>152.4</v>
      </c>
      <c r="E84" s="62" t="n">
        <v>10.8</v>
      </c>
      <c r="F84" s="60" t="s">
        <v>391</v>
      </c>
    </row>
    <row r="85" customFormat="false" ht="15" hidden="false" customHeight="false" outlineLevel="0" collapsed="false">
      <c r="A85" s="60" t="s">
        <v>975</v>
      </c>
      <c r="B85" s="60" t="s">
        <v>238</v>
      </c>
      <c r="C85" s="60" t="s">
        <v>344</v>
      </c>
      <c r="D85" s="61" t="n">
        <v>152.7</v>
      </c>
      <c r="E85" s="62" t="n">
        <v>10.9</v>
      </c>
      <c r="F85" s="60" t="s">
        <v>391</v>
      </c>
    </row>
    <row r="86" customFormat="false" ht="15" hidden="false" customHeight="false" outlineLevel="0" collapsed="false">
      <c r="A86" s="60" t="s">
        <v>976</v>
      </c>
      <c r="B86" s="60" t="s">
        <v>236</v>
      </c>
      <c r="C86" s="60" t="s">
        <v>341</v>
      </c>
      <c r="D86" s="61" t="n">
        <v>156.3</v>
      </c>
      <c r="E86" s="62" t="n">
        <v>11.1</v>
      </c>
      <c r="F86" s="60" t="s">
        <v>391</v>
      </c>
    </row>
    <row r="87" customFormat="false" ht="15" hidden="false" customHeight="false" outlineLevel="0" collapsed="false">
      <c r="A87" s="60" t="s">
        <v>977</v>
      </c>
      <c r="B87" s="60" t="s">
        <v>237</v>
      </c>
      <c r="C87" s="60" t="s">
        <v>344</v>
      </c>
      <c r="D87" s="61" t="n">
        <v>158.2</v>
      </c>
      <c r="E87" s="62" t="n">
        <v>11.3</v>
      </c>
      <c r="F87" s="60" t="s">
        <v>391</v>
      </c>
    </row>
    <row r="88" customFormat="false" ht="15" hidden="false" customHeight="false" outlineLevel="0" collapsed="false">
      <c r="A88" s="60" t="s">
        <v>978</v>
      </c>
      <c r="B88" s="60" t="s">
        <v>238</v>
      </c>
      <c r="C88" s="60" t="s">
        <v>339</v>
      </c>
      <c r="D88" s="61" t="n">
        <v>160.5</v>
      </c>
      <c r="E88" s="62" t="n">
        <v>11.4</v>
      </c>
      <c r="F88" s="60" t="s">
        <v>391</v>
      </c>
    </row>
    <row r="89" customFormat="false" ht="15" hidden="false" customHeight="false" outlineLevel="0" collapsed="false">
      <c r="A89" s="60" t="s">
        <v>979</v>
      </c>
      <c r="B89" s="60" t="s">
        <v>238</v>
      </c>
      <c r="C89" s="60" t="s">
        <v>339</v>
      </c>
      <c r="D89" s="61" t="n">
        <v>162.2</v>
      </c>
      <c r="E89" s="62" t="n">
        <v>11.5</v>
      </c>
      <c r="F89" s="60" t="s">
        <v>391</v>
      </c>
    </row>
    <row r="90" customFormat="false" ht="15" hidden="false" customHeight="false" outlineLevel="0" collapsed="false">
      <c r="A90" s="60" t="s">
        <v>980</v>
      </c>
      <c r="B90" s="60" t="s">
        <v>236</v>
      </c>
      <c r="C90" s="60" t="s">
        <v>341</v>
      </c>
      <c r="D90" s="61" t="n">
        <v>163.6</v>
      </c>
      <c r="E90" s="62" t="n">
        <v>11.6</v>
      </c>
      <c r="F90" s="60" t="s">
        <v>391</v>
      </c>
    </row>
    <row r="91" customFormat="false" ht="15" hidden="false" customHeight="false" outlineLevel="0" collapsed="false">
      <c r="A91" s="60" t="s">
        <v>981</v>
      </c>
      <c r="B91" s="60" t="s">
        <v>236</v>
      </c>
      <c r="C91" s="60" t="s">
        <v>341</v>
      </c>
      <c r="D91" s="61" t="n">
        <v>167.4</v>
      </c>
      <c r="E91" s="62" t="n">
        <v>11.9</v>
      </c>
      <c r="F91" s="60" t="s">
        <v>391</v>
      </c>
    </row>
    <row r="92" customFormat="false" ht="15" hidden="false" customHeight="false" outlineLevel="0" collapsed="false">
      <c r="A92" s="60" t="s">
        <v>982</v>
      </c>
      <c r="B92" s="60" t="s">
        <v>235</v>
      </c>
      <c r="C92" s="60" t="s">
        <v>352</v>
      </c>
      <c r="D92" s="61" t="n">
        <v>168.2</v>
      </c>
      <c r="E92" s="62" t="n">
        <v>12</v>
      </c>
      <c r="F92" s="60" t="s">
        <v>391</v>
      </c>
    </row>
    <row r="93" customFormat="false" ht="15" hidden="false" customHeight="false" outlineLevel="0" collapsed="false">
      <c r="A93" s="60" t="s">
        <v>983</v>
      </c>
      <c r="B93" s="60" t="s">
        <v>237</v>
      </c>
      <c r="C93" s="60" t="s">
        <v>345</v>
      </c>
      <c r="D93" s="61" t="n">
        <v>177.3</v>
      </c>
      <c r="E93" s="62" t="n">
        <v>12.6</v>
      </c>
      <c r="F93" s="60" t="s">
        <v>391</v>
      </c>
    </row>
    <row r="94" customFormat="false" ht="15" hidden="false" customHeight="false" outlineLevel="0" collapsed="false">
      <c r="A94" s="60" t="s">
        <v>984</v>
      </c>
      <c r="B94" s="60" t="s">
        <v>234</v>
      </c>
      <c r="C94" s="60" t="s">
        <v>339</v>
      </c>
      <c r="D94" s="61" t="n">
        <v>185.4</v>
      </c>
      <c r="E94" s="62" t="n">
        <v>13.2</v>
      </c>
      <c r="F94" s="60" t="s">
        <v>391</v>
      </c>
    </row>
    <row r="95" customFormat="false" ht="15" hidden="false" customHeight="false" outlineLevel="0" collapsed="false">
      <c r="A95" s="60" t="s">
        <v>985</v>
      </c>
      <c r="B95" s="60" t="s">
        <v>235</v>
      </c>
      <c r="C95" s="60" t="s">
        <v>352</v>
      </c>
      <c r="D95" s="61" t="n">
        <v>187.1</v>
      </c>
      <c r="E95" s="62" t="n">
        <v>13.3</v>
      </c>
      <c r="F95" s="60" t="s">
        <v>391</v>
      </c>
    </row>
    <row r="96" customFormat="false" ht="15" hidden="false" customHeight="false" outlineLevel="0" collapsed="false">
      <c r="A96" s="60" t="s">
        <v>986</v>
      </c>
      <c r="B96" s="60" t="s">
        <v>235</v>
      </c>
      <c r="C96" s="60" t="s">
        <v>352</v>
      </c>
      <c r="D96" s="61" t="n">
        <v>189.4</v>
      </c>
      <c r="E96" s="62" t="n">
        <v>13.5</v>
      </c>
      <c r="F96" s="60" t="s">
        <v>391</v>
      </c>
    </row>
    <row r="97" customFormat="false" ht="15" hidden="false" customHeight="false" outlineLevel="0" collapsed="false">
      <c r="A97" s="60" t="s">
        <v>987</v>
      </c>
      <c r="B97" s="60" t="s">
        <v>232</v>
      </c>
      <c r="C97" s="60" t="s">
        <v>340</v>
      </c>
      <c r="D97" s="61" t="n">
        <v>191.4</v>
      </c>
      <c r="E97" s="62" t="n">
        <v>13.6</v>
      </c>
      <c r="F97" s="60" t="s">
        <v>391</v>
      </c>
    </row>
    <row r="98" customFormat="false" ht="15" hidden="false" customHeight="false" outlineLevel="0" collapsed="false">
      <c r="A98" s="60" t="s">
        <v>988</v>
      </c>
      <c r="B98" s="60" t="s">
        <v>232</v>
      </c>
      <c r="C98" s="60" t="s">
        <v>340</v>
      </c>
      <c r="D98" s="61" t="n">
        <v>202.6</v>
      </c>
      <c r="E98" s="62" t="n">
        <v>14.4</v>
      </c>
      <c r="F98" s="60" t="s">
        <v>391</v>
      </c>
    </row>
    <row r="99" customFormat="false" ht="15" hidden="false" customHeight="false" outlineLevel="0" collapsed="false">
      <c r="A99" s="60" t="s">
        <v>989</v>
      </c>
      <c r="B99" s="60" t="s">
        <v>236</v>
      </c>
      <c r="C99" s="60" t="s">
        <v>341</v>
      </c>
      <c r="D99" s="61" t="n">
        <v>210</v>
      </c>
      <c r="E99" s="62" t="n">
        <v>14.9</v>
      </c>
      <c r="F99" s="60" t="s">
        <v>391</v>
      </c>
    </row>
    <row r="100" customFormat="false" ht="15" hidden="false" customHeight="false" outlineLevel="0" collapsed="false">
      <c r="A100" s="60" t="s">
        <v>990</v>
      </c>
      <c r="B100" s="60" t="s">
        <v>233</v>
      </c>
      <c r="C100" s="60" t="s">
        <v>341</v>
      </c>
      <c r="D100" s="61" t="n">
        <v>215.2</v>
      </c>
      <c r="E100" s="62" t="n">
        <v>15.3</v>
      </c>
      <c r="F100" s="60" t="s">
        <v>391</v>
      </c>
    </row>
    <row r="101" customFormat="false" ht="15" hidden="false" customHeight="false" outlineLevel="0" collapsed="false">
      <c r="A101" s="60" t="s">
        <v>991</v>
      </c>
      <c r="B101" s="60" t="s">
        <v>237</v>
      </c>
      <c r="C101" s="60" t="s">
        <v>346</v>
      </c>
      <c r="D101" s="61" t="n">
        <v>215.8</v>
      </c>
      <c r="E101" s="62" t="n">
        <v>15.4</v>
      </c>
      <c r="F101" s="60" t="s">
        <v>391</v>
      </c>
    </row>
    <row r="102" customFormat="false" ht="15" hidden="false" customHeight="false" outlineLevel="0" collapsed="false">
      <c r="A102" s="60" t="s">
        <v>992</v>
      </c>
      <c r="B102" s="60" t="s">
        <v>235</v>
      </c>
      <c r="C102" s="60" t="s">
        <v>352</v>
      </c>
      <c r="D102" s="61" t="n">
        <v>217.6</v>
      </c>
      <c r="E102" s="62" t="n">
        <v>15.5</v>
      </c>
      <c r="F102" s="60" t="s">
        <v>391</v>
      </c>
    </row>
    <row r="103" customFormat="false" ht="15" hidden="false" customHeight="false" outlineLevel="0" collapsed="false">
      <c r="A103" s="60" t="s">
        <v>993</v>
      </c>
      <c r="B103" s="60" t="s">
        <v>236</v>
      </c>
      <c r="C103" s="60" t="s">
        <v>341</v>
      </c>
      <c r="D103" s="61" t="n">
        <v>217.8</v>
      </c>
      <c r="E103" s="62" t="n">
        <v>15.5</v>
      </c>
      <c r="F103" s="60" t="s">
        <v>391</v>
      </c>
    </row>
    <row r="104" customFormat="false" ht="15" hidden="false" customHeight="false" outlineLevel="0" collapsed="false">
      <c r="A104" s="60" t="s">
        <v>994</v>
      </c>
      <c r="B104" s="60" t="s">
        <v>236</v>
      </c>
      <c r="C104" s="60" t="s">
        <v>341</v>
      </c>
      <c r="D104" s="61" t="n">
        <v>220.6</v>
      </c>
      <c r="E104" s="62" t="n">
        <v>15.7</v>
      </c>
      <c r="F104" s="60" t="s">
        <v>391</v>
      </c>
    </row>
    <row r="105" customFormat="false" ht="15" hidden="false" customHeight="false" outlineLevel="0" collapsed="false">
      <c r="A105" s="60" t="s">
        <v>995</v>
      </c>
      <c r="B105" s="60" t="s">
        <v>237</v>
      </c>
      <c r="C105" s="60" t="s">
        <v>346</v>
      </c>
      <c r="D105" s="61" t="n">
        <v>223.6</v>
      </c>
      <c r="E105" s="62" t="n">
        <v>15.9</v>
      </c>
      <c r="F105" s="60" t="s">
        <v>391</v>
      </c>
    </row>
    <row r="106" customFormat="false" ht="15" hidden="false" customHeight="false" outlineLevel="0" collapsed="false">
      <c r="A106" s="60" t="s">
        <v>996</v>
      </c>
      <c r="B106" s="60" t="s">
        <v>233</v>
      </c>
      <c r="C106" s="60" t="s">
        <v>341</v>
      </c>
      <c r="D106" s="61" t="n">
        <v>223.9</v>
      </c>
      <c r="E106" s="62" t="n">
        <v>15.9</v>
      </c>
      <c r="F106" s="60" t="s">
        <v>391</v>
      </c>
    </row>
    <row r="107" customFormat="false" ht="15" hidden="false" customHeight="false" outlineLevel="0" collapsed="false">
      <c r="A107" s="60" t="s">
        <v>997</v>
      </c>
      <c r="B107" s="60" t="s">
        <v>233</v>
      </c>
      <c r="C107" s="60" t="s">
        <v>339</v>
      </c>
      <c r="D107" s="61" t="n">
        <v>230.1</v>
      </c>
      <c r="E107" s="62" t="n">
        <v>16.4</v>
      </c>
      <c r="F107" s="60" t="s">
        <v>391</v>
      </c>
    </row>
    <row r="108" customFormat="false" ht="15" hidden="false" customHeight="false" outlineLevel="0" collapsed="false">
      <c r="A108" s="60" t="s">
        <v>998</v>
      </c>
      <c r="B108" s="60" t="s">
        <v>235</v>
      </c>
      <c r="C108" s="60" t="s">
        <v>352</v>
      </c>
      <c r="D108" s="61" t="n">
        <v>238.2</v>
      </c>
      <c r="E108" s="62" t="n">
        <v>17</v>
      </c>
      <c r="F108" s="60" t="s">
        <v>391</v>
      </c>
    </row>
    <row r="109" customFormat="false" ht="15" hidden="false" customHeight="false" outlineLevel="0" collapsed="false">
      <c r="A109" s="60" t="s">
        <v>999</v>
      </c>
      <c r="B109" s="60" t="s">
        <v>232</v>
      </c>
      <c r="C109" s="60" t="s">
        <v>340</v>
      </c>
      <c r="D109" s="61" t="n">
        <v>253.1</v>
      </c>
      <c r="E109" s="62" t="n">
        <v>18</v>
      </c>
      <c r="F109" s="60" t="s">
        <v>391</v>
      </c>
    </row>
    <row r="110" customFormat="false" ht="15" hidden="false" customHeight="false" outlineLevel="0" collapsed="false">
      <c r="A110" s="60" t="s">
        <v>1000</v>
      </c>
      <c r="B110" s="60" t="s">
        <v>232</v>
      </c>
      <c r="C110" s="60" t="s">
        <v>340</v>
      </c>
      <c r="D110" s="61" t="n">
        <v>254.1</v>
      </c>
      <c r="E110" s="62" t="n">
        <v>18.1</v>
      </c>
      <c r="F110" s="60" t="s">
        <v>391</v>
      </c>
    </row>
    <row r="111" customFormat="false" ht="15" hidden="false" customHeight="false" outlineLevel="0" collapsed="false">
      <c r="A111" s="60" t="s">
        <v>1001</v>
      </c>
      <c r="B111" s="60" t="s">
        <v>235</v>
      </c>
      <c r="C111" s="60" t="s">
        <v>352</v>
      </c>
      <c r="D111" s="61" t="n">
        <v>256.8</v>
      </c>
      <c r="E111" s="62" t="n">
        <v>18.3</v>
      </c>
      <c r="F111" s="60" t="s">
        <v>391</v>
      </c>
    </row>
    <row r="112" customFormat="false" ht="15" hidden="false" customHeight="false" outlineLevel="0" collapsed="false">
      <c r="A112" s="60" t="s">
        <v>1002</v>
      </c>
      <c r="B112" s="60" t="s">
        <v>232</v>
      </c>
      <c r="C112" s="60" t="s">
        <v>358</v>
      </c>
      <c r="D112" s="61" t="n">
        <v>257.6</v>
      </c>
      <c r="E112" s="62" t="n">
        <v>18.3</v>
      </c>
      <c r="F112" s="60" t="s">
        <v>391</v>
      </c>
    </row>
    <row r="113" customFormat="false" ht="15" hidden="false" customHeight="false" outlineLevel="0" collapsed="false">
      <c r="A113" s="60" t="s">
        <v>1003</v>
      </c>
      <c r="B113" s="60" t="s">
        <v>235</v>
      </c>
      <c r="C113" s="60" t="s">
        <v>352</v>
      </c>
      <c r="D113" s="61" t="n">
        <v>259.7</v>
      </c>
      <c r="E113" s="62" t="n">
        <v>18.5</v>
      </c>
      <c r="F113" s="60" t="s">
        <v>391</v>
      </c>
    </row>
    <row r="114" customFormat="false" ht="15" hidden="false" customHeight="false" outlineLevel="0" collapsed="false">
      <c r="A114" s="60" t="s">
        <v>1004</v>
      </c>
      <c r="B114" s="60" t="s">
        <v>232</v>
      </c>
      <c r="C114" s="60" t="s">
        <v>340</v>
      </c>
      <c r="D114" s="61" t="n">
        <v>260.6</v>
      </c>
      <c r="E114" s="62" t="n">
        <v>18.5</v>
      </c>
      <c r="F114" s="60" t="s">
        <v>391</v>
      </c>
    </row>
    <row r="115" customFormat="false" ht="15" hidden="false" customHeight="false" outlineLevel="0" collapsed="false">
      <c r="A115" s="60" t="s">
        <v>1005</v>
      </c>
      <c r="B115" s="60" t="s">
        <v>232</v>
      </c>
      <c r="C115" s="60" t="s">
        <v>358</v>
      </c>
      <c r="D115" s="61" t="n">
        <v>261.2</v>
      </c>
      <c r="E115" s="62" t="n">
        <v>18.6</v>
      </c>
      <c r="F115" s="60" t="s">
        <v>391</v>
      </c>
    </row>
    <row r="116" customFormat="false" ht="15" hidden="false" customHeight="false" outlineLevel="0" collapsed="false">
      <c r="A116" s="60" t="s">
        <v>1006</v>
      </c>
      <c r="B116" s="60" t="s">
        <v>232</v>
      </c>
      <c r="C116" s="60" t="s">
        <v>340</v>
      </c>
      <c r="D116" s="61" t="n">
        <v>262.9</v>
      </c>
      <c r="E116" s="62" t="n">
        <v>18.7</v>
      </c>
      <c r="F116" s="60" t="s">
        <v>391</v>
      </c>
    </row>
    <row r="117" customFormat="false" ht="15" hidden="false" customHeight="false" outlineLevel="0" collapsed="false">
      <c r="A117" s="60" t="s">
        <v>1007</v>
      </c>
      <c r="B117" s="60" t="s">
        <v>234</v>
      </c>
      <c r="C117" s="60" t="s">
        <v>339</v>
      </c>
      <c r="D117" s="61" t="n">
        <v>266.7</v>
      </c>
      <c r="E117" s="62" t="n">
        <v>19</v>
      </c>
      <c r="F117" s="60" t="s">
        <v>391</v>
      </c>
    </row>
    <row r="118" customFormat="false" ht="15" hidden="false" customHeight="false" outlineLevel="0" collapsed="false">
      <c r="A118" s="60" t="s">
        <v>1008</v>
      </c>
      <c r="B118" s="60" t="s">
        <v>236</v>
      </c>
      <c r="C118" s="60" t="s">
        <v>341</v>
      </c>
      <c r="D118" s="61" t="n">
        <v>268.3</v>
      </c>
      <c r="E118" s="62" t="n">
        <v>19.1</v>
      </c>
      <c r="F118" s="60" t="s">
        <v>391</v>
      </c>
    </row>
    <row r="119" customFormat="false" ht="15" hidden="false" customHeight="false" outlineLevel="0" collapsed="false">
      <c r="A119" s="60" t="s">
        <v>1009</v>
      </c>
      <c r="B119" s="60" t="s">
        <v>235</v>
      </c>
      <c r="C119" s="60" t="s">
        <v>352</v>
      </c>
      <c r="D119" s="61" t="n">
        <v>270.4</v>
      </c>
      <c r="E119" s="62" t="n">
        <v>19.2</v>
      </c>
      <c r="F119" s="60" t="s">
        <v>391</v>
      </c>
    </row>
    <row r="120" customFormat="false" ht="15" hidden="false" customHeight="false" outlineLevel="0" collapsed="false">
      <c r="A120" s="60" t="s">
        <v>1010</v>
      </c>
      <c r="B120" s="60" t="s">
        <v>236</v>
      </c>
      <c r="C120" s="60" t="s">
        <v>341</v>
      </c>
      <c r="D120" s="61" t="n">
        <v>271</v>
      </c>
      <c r="E120" s="62" t="n">
        <v>19.3</v>
      </c>
      <c r="F120" s="60" t="s">
        <v>391</v>
      </c>
    </row>
    <row r="121" customFormat="false" ht="15" hidden="false" customHeight="false" outlineLevel="0" collapsed="false">
      <c r="A121" s="60" t="s">
        <v>1011</v>
      </c>
      <c r="B121" s="60" t="s">
        <v>235</v>
      </c>
      <c r="C121" s="60" t="s">
        <v>352</v>
      </c>
      <c r="D121" s="61" t="n">
        <v>271.8</v>
      </c>
      <c r="E121" s="62" t="n">
        <v>19.3</v>
      </c>
      <c r="F121" s="60" t="s">
        <v>391</v>
      </c>
    </row>
    <row r="122" customFormat="false" ht="15" hidden="false" customHeight="false" outlineLevel="0" collapsed="false">
      <c r="A122" s="60" t="s">
        <v>1012</v>
      </c>
      <c r="B122" s="60" t="s">
        <v>235</v>
      </c>
      <c r="C122" s="60" t="s">
        <v>352</v>
      </c>
      <c r="D122" s="61" t="n">
        <v>273.4</v>
      </c>
      <c r="E122" s="62" t="n">
        <v>19.5</v>
      </c>
      <c r="F122" s="60" t="s">
        <v>391</v>
      </c>
    </row>
    <row r="123" customFormat="false" ht="15" hidden="false" customHeight="false" outlineLevel="0" collapsed="false">
      <c r="A123" s="60" t="s">
        <v>1013</v>
      </c>
      <c r="B123" s="60" t="s">
        <v>232</v>
      </c>
      <c r="C123" s="60" t="s">
        <v>340</v>
      </c>
      <c r="D123" s="61" t="n">
        <v>275.1</v>
      </c>
      <c r="E123" s="62" t="n">
        <v>19.6</v>
      </c>
      <c r="F123" s="60" t="s">
        <v>391</v>
      </c>
    </row>
    <row r="124" customFormat="false" ht="15" hidden="false" customHeight="false" outlineLevel="0" collapsed="false">
      <c r="A124" s="60" t="s">
        <v>1014</v>
      </c>
      <c r="B124" s="60" t="s">
        <v>236</v>
      </c>
      <c r="C124" s="60" t="s">
        <v>341</v>
      </c>
      <c r="D124" s="61" t="n">
        <v>277</v>
      </c>
      <c r="E124" s="62" t="n">
        <v>19.7</v>
      </c>
      <c r="F124" s="60" t="s">
        <v>391</v>
      </c>
    </row>
    <row r="125" customFormat="false" ht="15" hidden="false" customHeight="false" outlineLevel="0" collapsed="false">
      <c r="A125" s="60" t="s">
        <v>1015</v>
      </c>
      <c r="B125" s="60" t="s">
        <v>238</v>
      </c>
      <c r="C125" s="60" t="s">
        <v>341</v>
      </c>
      <c r="D125" s="61" t="n">
        <v>277.5</v>
      </c>
      <c r="E125" s="62" t="n">
        <v>19.8</v>
      </c>
      <c r="F125" s="60" t="s">
        <v>391</v>
      </c>
    </row>
    <row r="126" customFormat="false" ht="15" hidden="false" customHeight="false" outlineLevel="0" collapsed="false">
      <c r="A126" s="60" t="s">
        <v>1016</v>
      </c>
      <c r="B126" s="60" t="s">
        <v>232</v>
      </c>
      <c r="C126" s="60" t="s">
        <v>340</v>
      </c>
      <c r="D126" s="61" t="n">
        <v>279.4</v>
      </c>
      <c r="E126" s="62" t="n">
        <v>19.9</v>
      </c>
      <c r="F126" s="60" t="s">
        <v>391</v>
      </c>
    </row>
    <row r="127" customFormat="false" ht="15" hidden="false" customHeight="false" outlineLevel="0" collapsed="false">
      <c r="A127" s="60" t="s">
        <v>1017</v>
      </c>
      <c r="B127" s="60" t="s">
        <v>236</v>
      </c>
      <c r="C127" s="60" t="s">
        <v>341</v>
      </c>
      <c r="D127" s="61" t="n">
        <v>279.9</v>
      </c>
      <c r="E127" s="62" t="n">
        <v>19.9</v>
      </c>
      <c r="F127" s="60" t="s">
        <v>391</v>
      </c>
    </row>
    <row r="128" customFormat="false" ht="15" hidden="false" customHeight="false" outlineLevel="0" collapsed="false">
      <c r="A128" s="60" t="s">
        <v>1018</v>
      </c>
      <c r="B128" s="60" t="s">
        <v>235</v>
      </c>
      <c r="C128" s="60" t="s">
        <v>352</v>
      </c>
      <c r="D128" s="61" t="n">
        <v>279.9</v>
      </c>
      <c r="E128" s="62" t="n">
        <v>19.9</v>
      </c>
      <c r="F128" s="60" t="s">
        <v>391</v>
      </c>
    </row>
    <row r="129" customFormat="false" ht="15" hidden="false" customHeight="false" outlineLevel="0" collapsed="false">
      <c r="A129" s="60" t="s">
        <v>1019</v>
      </c>
      <c r="B129" s="60" t="s">
        <v>233</v>
      </c>
      <c r="C129" s="60" t="s">
        <v>339</v>
      </c>
      <c r="D129" s="61" t="n">
        <v>280.1</v>
      </c>
      <c r="E129" s="62" t="n">
        <v>19.9</v>
      </c>
      <c r="F129" s="60" t="s">
        <v>391</v>
      </c>
    </row>
    <row r="130" customFormat="false" ht="15" hidden="false" customHeight="false" outlineLevel="0" collapsed="false">
      <c r="A130" s="60" t="s">
        <v>1020</v>
      </c>
      <c r="B130" s="60" t="s">
        <v>236</v>
      </c>
      <c r="C130" s="60" t="s">
        <v>341</v>
      </c>
      <c r="D130" s="61" t="n">
        <v>285.8</v>
      </c>
      <c r="E130" s="62" t="n">
        <v>20.3</v>
      </c>
      <c r="F130" s="60" t="s">
        <v>391</v>
      </c>
    </row>
    <row r="131" customFormat="false" ht="15" hidden="false" customHeight="false" outlineLevel="0" collapsed="false">
      <c r="A131" s="60" t="s">
        <v>1021</v>
      </c>
      <c r="B131" s="60" t="s">
        <v>232</v>
      </c>
      <c r="C131" s="60" t="s">
        <v>340</v>
      </c>
      <c r="D131" s="61" t="n">
        <v>286.2</v>
      </c>
      <c r="E131" s="62" t="n">
        <v>20.4</v>
      </c>
      <c r="F131" s="60" t="s">
        <v>391</v>
      </c>
    </row>
    <row r="132" customFormat="false" ht="15" hidden="false" customHeight="false" outlineLevel="0" collapsed="false">
      <c r="A132" s="60" t="s">
        <v>1022</v>
      </c>
      <c r="B132" s="60" t="s">
        <v>234</v>
      </c>
      <c r="C132" s="60" t="s">
        <v>339</v>
      </c>
      <c r="D132" s="61" t="n">
        <v>286.2</v>
      </c>
      <c r="E132" s="62" t="n">
        <v>20.4</v>
      </c>
      <c r="F132" s="60" t="s">
        <v>391</v>
      </c>
    </row>
    <row r="133" customFormat="false" ht="15" hidden="false" customHeight="false" outlineLevel="0" collapsed="false">
      <c r="A133" s="60" t="s">
        <v>1023</v>
      </c>
      <c r="B133" s="60" t="s">
        <v>235</v>
      </c>
      <c r="C133" s="60" t="s">
        <v>352</v>
      </c>
      <c r="D133" s="61" t="n">
        <v>288</v>
      </c>
      <c r="E133" s="62" t="n">
        <v>20.5</v>
      </c>
      <c r="F133" s="60" t="s">
        <v>391</v>
      </c>
    </row>
    <row r="134" customFormat="false" ht="15" hidden="false" customHeight="false" outlineLevel="0" collapsed="false">
      <c r="A134" s="60" t="s">
        <v>1024</v>
      </c>
      <c r="B134" s="60" t="s">
        <v>235</v>
      </c>
      <c r="C134" s="60" t="s">
        <v>352</v>
      </c>
      <c r="D134" s="61" t="n">
        <v>288.2</v>
      </c>
      <c r="E134" s="62" t="n">
        <v>20.5</v>
      </c>
      <c r="F134" s="60" t="s">
        <v>391</v>
      </c>
    </row>
    <row r="135" customFormat="false" ht="15" hidden="false" customHeight="false" outlineLevel="0" collapsed="false">
      <c r="A135" s="60" t="s">
        <v>1025</v>
      </c>
      <c r="B135" s="60" t="s">
        <v>234</v>
      </c>
      <c r="C135" s="60" t="s">
        <v>339</v>
      </c>
      <c r="D135" s="61" t="n">
        <v>300.5</v>
      </c>
      <c r="E135" s="62" t="n">
        <v>21.4</v>
      </c>
      <c r="F135" s="60" t="s">
        <v>391</v>
      </c>
    </row>
    <row r="136" customFormat="false" ht="15" hidden="false" customHeight="false" outlineLevel="0" collapsed="false">
      <c r="A136" s="60" t="s">
        <v>1026</v>
      </c>
      <c r="B136" s="60" t="s">
        <v>232</v>
      </c>
      <c r="C136" s="60" t="s">
        <v>340</v>
      </c>
      <c r="D136" s="61" t="n">
        <v>301.4</v>
      </c>
      <c r="E136" s="62" t="n">
        <v>21.5</v>
      </c>
      <c r="F136" s="60" t="s">
        <v>391</v>
      </c>
    </row>
    <row r="137" customFormat="false" ht="15" hidden="false" customHeight="false" outlineLevel="0" collapsed="false">
      <c r="A137" s="60" t="s">
        <v>1027</v>
      </c>
      <c r="B137" s="60" t="s">
        <v>234</v>
      </c>
      <c r="C137" s="60" t="s">
        <v>339</v>
      </c>
      <c r="D137" s="61" t="n">
        <v>301.9</v>
      </c>
      <c r="E137" s="62" t="n">
        <v>21.5</v>
      </c>
      <c r="F137" s="60" t="s">
        <v>391</v>
      </c>
    </row>
    <row r="138" customFormat="false" ht="15" hidden="false" customHeight="false" outlineLevel="0" collapsed="false">
      <c r="A138" s="60" t="s">
        <v>1028</v>
      </c>
      <c r="B138" s="60" t="s">
        <v>234</v>
      </c>
      <c r="C138" s="60" t="s">
        <v>339</v>
      </c>
      <c r="D138" s="61" t="n">
        <v>304.6</v>
      </c>
      <c r="E138" s="62" t="n">
        <v>21.7</v>
      </c>
      <c r="F138" s="60" t="s">
        <v>391</v>
      </c>
    </row>
    <row r="139" customFormat="false" ht="15" hidden="false" customHeight="false" outlineLevel="0" collapsed="false">
      <c r="A139" s="60" t="s">
        <v>1029</v>
      </c>
      <c r="B139" s="60" t="s">
        <v>233</v>
      </c>
      <c r="C139" s="60" t="s">
        <v>339</v>
      </c>
      <c r="D139" s="61" t="n">
        <v>307.4</v>
      </c>
      <c r="E139" s="62" t="n">
        <v>21.9</v>
      </c>
      <c r="F139" s="60" t="s">
        <v>391</v>
      </c>
    </row>
    <row r="140" customFormat="false" ht="15" hidden="false" customHeight="false" outlineLevel="0" collapsed="false">
      <c r="A140" s="60" t="s">
        <v>1030</v>
      </c>
      <c r="B140" s="60" t="s">
        <v>234</v>
      </c>
      <c r="C140" s="60" t="s">
        <v>339</v>
      </c>
      <c r="D140" s="61" t="n">
        <v>311.6</v>
      </c>
      <c r="E140" s="62" t="n">
        <v>22.2</v>
      </c>
      <c r="F140" s="60" t="s">
        <v>391</v>
      </c>
    </row>
    <row r="141" customFormat="false" ht="15" hidden="false" customHeight="false" outlineLevel="0" collapsed="false">
      <c r="A141" s="60" t="s">
        <v>1031</v>
      </c>
      <c r="B141" s="60" t="s">
        <v>234</v>
      </c>
      <c r="C141" s="60" t="s">
        <v>339</v>
      </c>
      <c r="D141" s="61" t="n">
        <v>313.3</v>
      </c>
      <c r="E141" s="62" t="n">
        <v>22.3</v>
      </c>
      <c r="F141" s="60" t="s">
        <v>391</v>
      </c>
    </row>
    <row r="142" customFormat="false" ht="15" hidden="false" customHeight="false" outlineLevel="0" collapsed="false">
      <c r="A142" s="60" t="s">
        <v>1032</v>
      </c>
      <c r="B142" s="60" t="s">
        <v>233</v>
      </c>
      <c r="C142" s="60" t="s">
        <v>339</v>
      </c>
      <c r="D142" s="61" t="n">
        <v>331.9</v>
      </c>
      <c r="E142" s="62" t="n">
        <v>23.6</v>
      </c>
      <c r="F142" s="60" t="s">
        <v>391</v>
      </c>
    </row>
    <row r="143" customFormat="false" ht="15" hidden="false" customHeight="false" outlineLevel="0" collapsed="false">
      <c r="A143" s="60" t="s">
        <v>1033</v>
      </c>
      <c r="B143" s="60" t="s">
        <v>233</v>
      </c>
      <c r="C143" s="60" t="s">
        <v>341</v>
      </c>
      <c r="D143" s="61" t="n">
        <v>332</v>
      </c>
      <c r="E143" s="62" t="n">
        <v>23.6</v>
      </c>
      <c r="F143" s="60" t="s">
        <v>391</v>
      </c>
    </row>
    <row r="144" customFormat="false" ht="15" hidden="false" customHeight="false" outlineLevel="0" collapsed="false">
      <c r="A144" s="60" t="s">
        <v>1034</v>
      </c>
      <c r="B144" s="60" t="s">
        <v>236</v>
      </c>
      <c r="C144" s="60" t="s">
        <v>341</v>
      </c>
      <c r="D144" s="61" t="n">
        <v>336.8</v>
      </c>
      <c r="E144" s="62" t="n">
        <v>24</v>
      </c>
      <c r="F144" s="60" t="s">
        <v>391</v>
      </c>
    </row>
    <row r="145" customFormat="false" ht="15" hidden="false" customHeight="false" outlineLevel="0" collapsed="false">
      <c r="A145" s="60" t="s">
        <v>1035</v>
      </c>
      <c r="B145" s="60" t="s">
        <v>233</v>
      </c>
      <c r="C145" s="60" t="s">
        <v>341</v>
      </c>
      <c r="D145" s="61" t="n">
        <v>338.7</v>
      </c>
      <c r="E145" s="62" t="n">
        <v>24.1</v>
      </c>
      <c r="F145" s="60" t="s">
        <v>391</v>
      </c>
    </row>
    <row r="146" customFormat="false" ht="15" hidden="false" customHeight="false" outlineLevel="0" collapsed="false">
      <c r="A146" s="60" t="s">
        <v>1036</v>
      </c>
      <c r="B146" s="60" t="s">
        <v>233</v>
      </c>
      <c r="C146" s="60" t="s">
        <v>341</v>
      </c>
      <c r="D146" s="61" t="n">
        <v>345.4</v>
      </c>
      <c r="E146" s="62" t="n">
        <v>24.6</v>
      </c>
      <c r="F146" s="60" t="s">
        <v>391</v>
      </c>
    </row>
    <row r="147" customFormat="false" ht="15" hidden="false" customHeight="false" outlineLevel="0" collapsed="false">
      <c r="A147" s="60" t="s">
        <v>1037</v>
      </c>
      <c r="B147" s="60" t="s">
        <v>234</v>
      </c>
      <c r="C147" s="60" t="s">
        <v>341</v>
      </c>
      <c r="D147" s="61" t="n">
        <v>350.3</v>
      </c>
      <c r="E147" s="62" t="n">
        <v>24.9</v>
      </c>
      <c r="F147" s="60" t="s">
        <v>391</v>
      </c>
    </row>
    <row r="148" customFormat="false" ht="15" hidden="false" customHeight="false" outlineLevel="0" collapsed="false">
      <c r="A148" s="71" t="s">
        <v>1038</v>
      </c>
      <c r="B148" s="71" t="s">
        <v>234</v>
      </c>
      <c r="C148" s="71" t="s">
        <v>339</v>
      </c>
      <c r="D148" s="72" t="n">
        <v>351.1</v>
      </c>
      <c r="E148" s="73" t="n">
        <v>25</v>
      </c>
      <c r="F148" s="71" t="s">
        <v>470</v>
      </c>
    </row>
    <row r="149" customFormat="false" ht="15" hidden="false" customHeight="false" outlineLevel="0" collapsed="false">
      <c r="A149" s="71" t="s">
        <v>1039</v>
      </c>
      <c r="B149" s="71" t="s">
        <v>232</v>
      </c>
      <c r="C149" s="71" t="s">
        <v>358</v>
      </c>
      <c r="D149" s="72" t="n">
        <v>353.4</v>
      </c>
      <c r="E149" s="73" t="n">
        <v>25.2</v>
      </c>
      <c r="F149" s="71" t="s">
        <v>470</v>
      </c>
    </row>
    <row r="150" customFormat="false" ht="15" hidden="false" customHeight="false" outlineLevel="0" collapsed="false">
      <c r="A150" s="71" t="s">
        <v>1040</v>
      </c>
      <c r="B150" s="71" t="s">
        <v>233</v>
      </c>
      <c r="C150" s="71" t="s">
        <v>341</v>
      </c>
      <c r="D150" s="72" t="n">
        <v>353.9</v>
      </c>
      <c r="E150" s="73" t="n">
        <v>25.2</v>
      </c>
      <c r="F150" s="71" t="s">
        <v>470</v>
      </c>
    </row>
    <row r="151" customFormat="false" ht="15" hidden="false" customHeight="false" outlineLevel="0" collapsed="false">
      <c r="A151" s="71" t="s">
        <v>1041</v>
      </c>
      <c r="B151" s="71" t="s">
        <v>234</v>
      </c>
      <c r="C151" s="71" t="s">
        <v>339</v>
      </c>
      <c r="D151" s="72" t="n">
        <v>354.4</v>
      </c>
      <c r="E151" s="73" t="n">
        <v>25.2</v>
      </c>
      <c r="F151" s="71" t="s">
        <v>470</v>
      </c>
    </row>
    <row r="152" customFormat="false" ht="15" hidden="false" customHeight="false" outlineLevel="0" collapsed="false">
      <c r="A152" s="71" t="s">
        <v>1042</v>
      </c>
      <c r="B152" s="71" t="s">
        <v>234</v>
      </c>
      <c r="C152" s="71" t="s">
        <v>339</v>
      </c>
      <c r="D152" s="72" t="n">
        <v>355.3</v>
      </c>
      <c r="E152" s="73" t="n">
        <v>25.3</v>
      </c>
      <c r="F152" s="71" t="s">
        <v>470</v>
      </c>
    </row>
    <row r="153" customFormat="false" ht="15" hidden="false" customHeight="false" outlineLevel="0" collapsed="false">
      <c r="A153" s="71" t="s">
        <v>1043</v>
      </c>
      <c r="B153" s="71" t="s">
        <v>237</v>
      </c>
      <c r="C153" s="71" t="s">
        <v>346</v>
      </c>
      <c r="D153" s="72" t="n">
        <v>355.8</v>
      </c>
      <c r="E153" s="73" t="n">
        <v>25.3</v>
      </c>
      <c r="F153" s="71" t="s">
        <v>470</v>
      </c>
    </row>
    <row r="154" customFormat="false" ht="15" hidden="false" customHeight="false" outlineLevel="0" collapsed="false">
      <c r="A154" s="71" t="s">
        <v>1044</v>
      </c>
      <c r="B154" s="71" t="s">
        <v>233</v>
      </c>
      <c r="C154" s="71" t="s">
        <v>341</v>
      </c>
      <c r="D154" s="72" t="n">
        <v>358.7</v>
      </c>
      <c r="E154" s="73" t="n">
        <v>25.5</v>
      </c>
      <c r="F154" s="71" t="s">
        <v>470</v>
      </c>
    </row>
    <row r="155" customFormat="false" ht="15" hidden="false" customHeight="false" outlineLevel="0" collapsed="false">
      <c r="A155" s="71" t="s">
        <v>1045</v>
      </c>
      <c r="B155" s="71" t="s">
        <v>233</v>
      </c>
      <c r="C155" s="71" t="s">
        <v>341</v>
      </c>
      <c r="D155" s="72" t="n">
        <v>360.8</v>
      </c>
      <c r="E155" s="73" t="n">
        <v>25.7</v>
      </c>
      <c r="F155" s="71" t="s">
        <v>470</v>
      </c>
    </row>
    <row r="156" customFormat="false" ht="15" hidden="false" customHeight="false" outlineLevel="0" collapsed="false">
      <c r="A156" s="71" t="s">
        <v>1046</v>
      </c>
      <c r="B156" s="71" t="s">
        <v>233</v>
      </c>
      <c r="C156" s="71" t="s">
        <v>341</v>
      </c>
      <c r="D156" s="72" t="n">
        <v>360.9</v>
      </c>
      <c r="E156" s="73" t="n">
        <v>25.7</v>
      </c>
      <c r="F156" s="71" t="s">
        <v>470</v>
      </c>
    </row>
    <row r="157" customFormat="false" ht="15" hidden="false" customHeight="false" outlineLevel="0" collapsed="false">
      <c r="A157" s="71" t="s">
        <v>1047</v>
      </c>
      <c r="B157" s="71" t="s">
        <v>234</v>
      </c>
      <c r="C157" s="71" t="s">
        <v>339</v>
      </c>
      <c r="D157" s="72" t="n">
        <v>361.9</v>
      </c>
      <c r="E157" s="73" t="n">
        <v>25.8</v>
      </c>
      <c r="F157" s="71" t="s">
        <v>470</v>
      </c>
    </row>
    <row r="158" customFormat="false" ht="15" hidden="false" customHeight="false" outlineLevel="0" collapsed="false">
      <c r="A158" s="71" t="s">
        <v>1048</v>
      </c>
      <c r="B158" s="71" t="s">
        <v>234</v>
      </c>
      <c r="C158" s="71" t="s">
        <v>339</v>
      </c>
      <c r="D158" s="72" t="n">
        <v>375.5</v>
      </c>
      <c r="E158" s="73" t="n">
        <v>26.7</v>
      </c>
      <c r="F158" s="71" t="s">
        <v>470</v>
      </c>
    </row>
    <row r="159" customFormat="false" ht="15" hidden="false" customHeight="false" outlineLevel="0" collapsed="false">
      <c r="A159" s="71" t="s">
        <v>1049</v>
      </c>
      <c r="B159" s="71" t="s">
        <v>233</v>
      </c>
      <c r="C159" s="71" t="s">
        <v>341</v>
      </c>
      <c r="D159" s="72" t="n">
        <v>376.8</v>
      </c>
      <c r="E159" s="73" t="n">
        <v>26.8</v>
      </c>
      <c r="F159" s="71" t="s">
        <v>470</v>
      </c>
    </row>
    <row r="160" customFormat="false" ht="15" hidden="false" customHeight="false" outlineLevel="0" collapsed="false">
      <c r="A160" s="71" t="s">
        <v>1050</v>
      </c>
      <c r="B160" s="71" t="s">
        <v>233</v>
      </c>
      <c r="C160" s="71" t="s">
        <v>341</v>
      </c>
      <c r="D160" s="72" t="n">
        <v>384.1</v>
      </c>
      <c r="E160" s="73" t="n">
        <v>27.3</v>
      </c>
      <c r="F160" s="71" t="s">
        <v>470</v>
      </c>
    </row>
    <row r="161" customFormat="false" ht="15" hidden="false" customHeight="false" outlineLevel="0" collapsed="false">
      <c r="A161" s="71" t="s">
        <v>1051</v>
      </c>
      <c r="B161" s="71" t="s">
        <v>233</v>
      </c>
      <c r="C161" s="71" t="s">
        <v>341</v>
      </c>
      <c r="D161" s="72" t="n">
        <v>392</v>
      </c>
      <c r="E161" s="73" t="n">
        <v>27.9</v>
      </c>
      <c r="F161" s="71" t="s">
        <v>470</v>
      </c>
    </row>
    <row r="162" customFormat="false" ht="15" hidden="false" customHeight="false" outlineLevel="0" collapsed="false">
      <c r="A162" s="71" t="s">
        <v>1052</v>
      </c>
      <c r="B162" s="71" t="s">
        <v>233</v>
      </c>
      <c r="C162" s="71" t="s">
        <v>341</v>
      </c>
      <c r="D162" s="72" t="n">
        <v>406.2</v>
      </c>
      <c r="E162" s="73" t="n">
        <v>28.9</v>
      </c>
      <c r="F162" s="71" t="s">
        <v>470</v>
      </c>
    </row>
    <row r="163" customFormat="false" ht="15" hidden="false" customHeight="false" outlineLevel="0" collapsed="false">
      <c r="A163" s="71" t="s">
        <v>1053</v>
      </c>
      <c r="B163" s="71" t="s">
        <v>232</v>
      </c>
      <c r="C163" s="71" t="s">
        <v>340</v>
      </c>
      <c r="D163" s="72" t="n">
        <v>442.1</v>
      </c>
      <c r="E163" s="73" t="n">
        <v>31.5</v>
      </c>
      <c r="F163" s="71" t="s">
        <v>470</v>
      </c>
    </row>
    <row r="164" customFormat="false" ht="15" hidden="false" customHeight="false" outlineLevel="0" collapsed="false">
      <c r="A164" s="71" t="s">
        <v>1054</v>
      </c>
      <c r="B164" s="71" t="s">
        <v>232</v>
      </c>
      <c r="C164" s="71" t="s">
        <v>340</v>
      </c>
      <c r="D164" s="72" t="n">
        <v>469.4</v>
      </c>
      <c r="E164" s="73" t="n">
        <v>33.4</v>
      </c>
      <c r="F164" s="71" t="s">
        <v>470</v>
      </c>
    </row>
    <row r="165" customFormat="false" ht="15" hidden="false" customHeight="false" outlineLevel="0" collapsed="false">
      <c r="A165" s="71" t="s">
        <v>1055</v>
      </c>
      <c r="B165" s="71" t="s">
        <v>232</v>
      </c>
      <c r="C165" s="71" t="s">
        <v>340</v>
      </c>
      <c r="D165" s="72" t="n">
        <v>487.4</v>
      </c>
      <c r="E165" s="73" t="n">
        <v>34.7</v>
      </c>
      <c r="F165" s="71" t="s">
        <v>470</v>
      </c>
    </row>
    <row r="166" customFormat="false" ht="15" hidden="false" customHeight="false" outlineLevel="0" collapsed="false">
      <c r="A166" s="71" t="s">
        <v>1056</v>
      </c>
      <c r="B166" s="71" t="s">
        <v>232</v>
      </c>
      <c r="C166" s="71" t="s">
        <v>340</v>
      </c>
      <c r="D166" s="72" t="n">
        <v>491.6</v>
      </c>
      <c r="E166" s="73" t="n">
        <v>35</v>
      </c>
      <c r="F166" s="71" t="s">
        <v>470</v>
      </c>
    </row>
    <row r="167" customFormat="false" ht="15" hidden="false" customHeight="false" outlineLevel="0" collapsed="false">
      <c r="A167" s="71" t="s">
        <v>1057</v>
      </c>
      <c r="B167" s="71" t="s">
        <v>232</v>
      </c>
      <c r="C167" s="71" t="s">
        <v>340</v>
      </c>
      <c r="D167" s="72" t="n">
        <v>550.3</v>
      </c>
      <c r="E167" s="73" t="n">
        <v>39.2</v>
      </c>
      <c r="F167" s="71" t="s">
        <v>470</v>
      </c>
    </row>
  </sheetData>
  <mergeCells count="7">
    <mergeCell ref="A1:F1"/>
    <mergeCell ref="A10:F10"/>
    <mergeCell ref="A11:F11"/>
    <mergeCell ref="A12:F12"/>
    <mergeCell ref="A13:F13"/>
    <mergeCell ref="A14:F14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1058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25991.7</v>
      </c>
    </row>
    <row r="4" customFormat="false" ht="15" hidden="false" customHeight="false" outlineLevel="0" collapsed="false">
      <c r="A4" s="39" t="s">
        <v>134</v>
      </c>
      <c r="B4" s="0" t="n">
        <v>196</v>
      </c>
    </row>
    <row r="5" customFormat="false" ht="15" hidden="false" customHeight="false" outlineLevel="0" collapsed="false">
      <c r="A5" s="39" t="s">
        <v>368</v>
      </c>
      <c r="B5" s="53" t="s">
        <v>1059</v>
      </c>
    </row>
    <row r="6" customFormat="false" ht="15" hidden="false" customHeight="false" outlineLevel="0" collapsed="false">
      <c r="A6" s="39" t="s">
        <v>370</v>
      </c>
      <c r="B6" s="54" t="n">
        <v>10.3427142071796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0.206854284143592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1060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1061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1062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1063</v>
      </c>
      <c r="B14" s="58"/>
      <c r="C14" s="58"/>
      <c r="D14" s="58"/>
      <c r="E14" s="58"/>
      <c r="F14" s="58"/>
    </row>
    <row r="15" customFormat="false" ht="34.5" hidden="false" customHeight="true" outlineLevel="0" collapsed="false">
      <c r="A15" s="58" t="s">
        <v>1064</v>
      </c>
      <c r="B15" s="58"/>
      <c r="C15" s="58"/>
      <c r="D15" s="58"/>
      <c r="E15" s="58"/>
      <c r="F15" s="58"/>
    </row>
    <row r="17" customFormat="false" ht="15" hidden="false" customHeight="false" outlineLevel="0" collapsed="false">
      <c r="A17" s="59" t="s">
        <v>378</v>
      </c>
    </row>
    <row r="18" customFormat="false" ht="26.85" hidden="false" customHeight="false" outlineLevel="0" collapsed="false">
      <c r="A18" s="6" t="s">
        <v>210</v>
      </c>
      <c r="B18" s="6" t="s">
        <v>134</v>
      </c>
      <c r="C18" s="6" t="s">
        <v>132</v>
      </c>
      <c r="D18" s="6" t="s">
        <v>379</v>
      </c>
      <c r="E18" s="6" t="s">
        <v>380</v>
      </c>
    </row>
    <row r="19" customFormat="false" ht="15" hidden="false" customHeight="false" outlineLevel="0" collapsed="false">
      <c r="A19" s="60" t="s">
        <v>251</v>
      </c>
      <c r="B19" s="60" t="n">
        <v>12</v>
      </c>
      <c r="C19" s="61" t="n">
        <v>4417.8</v>
      </c>
      <c r="D19" s="62" t="n">
        <v>368.2</v>
      </c>
      <c r="E19" s="62" t="n">
        <v>28.7</v>
      </c>
    </row>
    <row r="20" customFormat="false" ht="15" hidden="false" customHeight="false" outlineLevel="0" collapsed="false">
      <c r="A20" s="60" t="s">
        <v>252</v>
      </c>
      <c r="B20" s="60" t="n">
        <v>12</v>
      </c>
      <c r="C20" s="61" t="n">
        <v>4238.8</v>
      </c>
      <c r="D20" s="62" t="n">
        <v>353.2</v>
      </c>
      <c r="E20" s="62" t="n">
        <v>27.5</v>
      </c>
    </row>
    <row r="21" customFormat="false" ht="15" hidden="false" customHeight="false" outlineLevel="0" collapsed="false">
      <c r="A21" s="63" t="s">
        <v>253</v>
      </c>
      <c r="B21" s="63" t="n">
        <v>13</v>
      </c>
      <c r="C21" s="64" t="n">
        <v>3835.4</v>
      </c>
      <c r="D21" s="65" t="n">
        <v>295</v>
      </c>
      <c r="E21" s="65" t="n">
        <v>23</v>
      </c>
    </row>
    <row r="22" customFormat="false" ht="15" hidden="false" customHeight="false" outlineLevel="0" collapsed="false">
      <c r="A22" s="63" t="s">
        <v>254</v>
      </c>
      <c r="B22" s="63" t="n">
        <v>13</v>
      </c>
      <c r="C22" s="64" t="n">
        <v>3614.2</v>
      </c>
      <c r="D22" s="65" t="n">
        <v>278</v>
      </c>
      <c r="E22" s="65" t="n">
        <v>21.7</v>
      </c>
    </row>
    <row r="23" customFormat="false" ht="15" hidden="false" customHeight="false" outlineLevel="0" collapsed="false">
      <c r="A23" s="63" t="s">
        <v>255</v>
      </c>
      <c r="B23" s="63" t="n">
        <v>10</v>
      </c>
      <c r="C23" s="64" t="n">
        <v>1996.6</v>
      </c>
      <c r="D23" s="65" t="n">
        <v>199.7</v>
      </c>
      <c r="E23" s="65" t="n">
        <v>15.6</v>
      </c>
    </row>
    <row r="24" customFormat="false" ht="15" hidden="false" customHeight="false" outlineLevel="0" collapsed="false">
      <c r="A24" s="63" t="s">
        <v>256</v>
      </c>
      <c r="B24" s="63" t="n">
        <v>15</v>
      </c>
      <c r="C24" s="64" t="n">
        <v>1889.6</v>
      </c>
      <c r="D24" s="65" t="n">
        <v>126</v>
      </c>
      <c r="E24" s="65" t="n">
        <v>9.8</v>
      </c>
    </row>
    <row r="25" customFormat="false" ht="15" hidden="false" customHeight="false" outlineLevel="0" collapsed="false">
      <c r="A25" s="63" t="s">
        <v>257</v>
      </c>
      <c r="B25" s="63" t="n">
        <v>11</v>
      </c>
      <c r="C25" s="64" t="n">
        <v>1506.8</v>
      </c>
      <c r="D25" s="65" t="n">
        <v>137</v>
      </c>
      <c r="E25" s="65" t="n">
        <v>10.7</v>
      </c>
    </row>
    <row r="26" customFormat="false" ht="15" hidden="false" customHeight="false" outlineLevel="0" collapsed="false">
      <c r="A26" s="63" t="s">
        <v>258</v>
      </c>
      <c r="B26" s="63" t="n">
        <v>10</v>
      </c>
      <c r="C26" s="64" t="n">
        <v>1321.6</v>
      </c>
      <c r="D26" s="65" t="n">
        <v>132.2</v>
      </c>
      <c r="E26" s="65" t="n">
        <v>10.3</v>
      </c>
    </row>
    <row r="27" customFormat="false" ht="15" hidden="false" customHeight="false" outlineLevel="0" collapsed="false">
      <c r="A27" s="63" t="s">
        <v>259</v>
      </c>
      <c r="B27" s="63" t="n">
        <v>10</v>
      </c>
      <c r="C27" s="64" t="n">
        <v>1221</v>
      </c>
      <c r="D27" s="65" t="n">
        <v>122.1</v>
      </c>
      <c r="E27" s="65" t="n">
        <v>9.5</v>
      </c>
    </row>
    <row r="28" customFormat="false" ht="15" hidden="false" customHeight="false" outlineLevel="0" collapsed="false">
      <c r="A28" s="63" t="s">
        <v>260</v>
      </c>
      <c r="B28" s="63" t="n">
        <v>11</v>
      </c>
      <c r="C28" s="64" t="n">
        <v>689.8</v>
      </c>
      <c r="D28" s="65" t="n">
        <v>62.7</v>
      </c>
      <c r="E28" s="65" t="n">
        <v>4.9</v>
      </c>
    </row>
    <row r="29" customFormat="false" ht="15" hidden="false" customHeight="false" outlineLevel="0" collapsed="false">
      <c r="A29" s="63" t="s">
        <v>261</v>
      </c>
      <c r="B29" s="63" t="n">
        <v>7</v>
      </c>
      <c r="C29" s="64" t="n">
        <v>683</v>
      </c>
      <c r="D29" s="65" t="n">
        <v>97.6</v>
      </c>
      <c r="E29" s="65" t="n">
        <v>7.6</v>
      </c>
    </row>
    <row r="30" customFormat="false" ht="15" hidden="false" customHeight="false" outlineLevel="0" collapsed="false">
      <c r="A30" s="63" t="s">
        <v>262</v>
      </c>
      <c r="B30" s="63" t="n">
        <v>11</v>
      </c>
      <c r="C30" s="64" t="n">
        <v>325.8</v>
      </c>
      <c r="D30" s="65" t="n">
        <v>29.6</v>
      </c>
      <c r="E30" s="65" t="n">
        <v>2.3</v>
      </c>
    </row>
    <row r="31" customFormat="false" ht="15" hidden="false" customHeight="false" outlineLevel="0" collapsed="false">
      <c r="A31" s="63" t="s">
        <v>263</v>
      </c>
      <c r="B31" s="63" t="n">
        <v>10</v>
      </c>
      <c r="C31" s="64" t="n">
        <v>95</v>
      </c>
      <c r="D31" s="65" t="n">
        <v>9.5</v>
      </c>
      <c r="E31" s="65" t="n">
        <v>0.7</v>
      </c>
    </row>
    <row r="32" customFormat="false" ht="15" hidden="false" customHeight="false" outlineLevel="0" collapsed="false">
      <c r="A32" s="63" t="s">
        <v>264</v>
      </c>
      <c r="B32" s="63" t="n">
        <v>9</v>
      </c>
      <c r="C32" s="64" t="n">
        <v>72</v>
      </c>
      <c r="D32" s="65" t="n">
        <v>8</v>
      </c>
      <c r="E32" s="65" t="n">
        <v>0.6</v>
      </c>
    </row>
    <row r="33" customFormat="false" ht="15" hidden="false" customHeight="false" outlineLevel="0" collapsed="false">
      <c r="A33" s="63" t="s">
        <v>265</v>
      </c>
      <c r="B33" s="63" t="n">
        <v>7</v>
      </c>
      <c r="C33" s="64" t="n">
        <v>42.9</v>
      </c>
      <c r="D33" s="65" t="n">
        <v>6.1</v>
      </c>
      <c r="E33" s="65" t="n">
        <v>0.5</v>
      </c>
    </row>
    <row r="34" customFormat="false" ht="15" hidden="false" customHeight="false" outlineLevel="0" collapsed="false">
      <c r="A34" s="63" t="s">
        <v>266</v>
      </c>
      <c r="B34" s="63" t="n">
        <v>10</v>
      </c>
      <c r="C34" s="64" t="n">
        <v>38</v>
      </c>
      <c r="D34" s="65" t="n">
        <v>3.8</v>
      </c>
      <c r="E34" s="65" t="n">
        <v>0.3</v>
      </c>
    </row>
    <row r="35" customFormat="false" ht="15" hidden="false" customHeight="false" outlineLevel="0" collapsed="false">
      <c r="A35" s="63" t="s">
        <v>267</v>
      </c>
      <c r="B35" s="63" t="n">
        <v>11</v>
      </c>
      <c r="C35" s="64" t="n">
        <v>3.4</v>
      </c>
      <c r="D35" s="65" t="n">
        <v>0.3</v>
      </c>
      <c r="E35" s="65" t="n">
        <v>0</v>
      </c>
    </row>
    <row r="36" customFormat="false" ht="15" hidden="false" customHeight="false" outlineLevel="0" collapsed="false">
      <c r="A36" s="63" t="s">
        <v>269</v>
      </c>
      <c r="B36" s="63" t="n">
        <v>10</v>
      </c>
      <c r="C36" s="64" t="n">
        <v>0</v>
      </c>
      <c r="D36" s="65" t="n">
        <v>0</v>
      </c>
      <c r="E36" s="65" t="n">
        <v>0</v>
      </c>
    </row>
    <row r="37" customFormat="false" ht="15" hidden="false" customHeight="false" outlineLevel="0" collapsed="false">
      <c r="A37" s="63" t="s">
        <v>268</v>
      </c>
      <c r="B37" s="63" t="n">
        <v>8</v>
      </c>
      <c r="C37" s="64" t="n">
        <v>0</v>
      </c>
      <c r="D37" s="65" t="n">
        <v>0</v>
      </c>
      <c r="E37" s="65" t="n">
        <v>0</v>
      </c>
    </row>
    <row r="39" customFormat="false" ht="15" hidden="false" customHeight="false" outlineLevel="0" collapsed="false">
      <c r="A39" s="59" t="s">
        <v>381</v>
      </c>
    </row>
    <row r="40" customFormat="false" ht="26.85" hidden="false" customHeight="false" outlineLevel="0" collapsed="false">
      <c r="A40" s="6" t="s">
        <v>161</v>
      </c>
      <c r="B40" s="6" t="s">
        <v>162</v>
      </c>
      <c r="C40" s="6" t="s">
        <v>163</v>
      </c>
      <c r="D40" s="6" t="s">
        <v>382</v>
      </c>
      <c r="E40" s="6" t="s">
        <v>383</v>
      </c>
      <c r="F40" s="6" t="s">
        <v>384</v>
      </c>
    </row>
    <row r="41" customFormat="false" ht="15" hidden="false" customHeight="false" outlineLevel="0" collapsed="false">
      <c r="A41" s="66" t="s">
        <v>174</v>
      </c>
      <c r="B41" s="67" t="n">
        <v>247215</v>
      </c>
      <c r="C41" s="67" t="n">
        <v>11413</v>
      </c>
      <c r="D41" s="68" t="n">
        <v>0</v>
      </c>
      <c r="E41" s="68" t="n">
        <v>0.948</v>
      </c>
      <c r="F41" s="69" t="n">
        <v>0</v>
      </c>
    </row>
    <row r="42" customFormat="false" ht="15" hidden="false" customHeight="false" outlineLevel="0" collapsed="false">
      <c r="A42" s="66" t="s">
        <v>176</v>
      </c>
      <c r="B42" s="67" t="n">
        <v>222043</v>
      </c>
      <c r="C42" s="67" t="n">
        <v>24344</v>
      </c>
      <c r="D42" s="68" t="n">
        <v>0</v>
      </c>
      <c r="E42" s="68" t="n">
        <v>0</v>
      </c>
      <c r="F42" s="69" t="n">
        <v>0</v>
      </c>
    </row>
    <row r="43" customFormat="false" ht="15" hidden="false" customHeight="false" outlineLevel="0" collapsed="false">
      <c r="A43" s="66" t="s">
        <v>175</v>
      </c>
      <c r="B43" s="67" t="n">
        <v>125979</v>
      </c>
      <c r="C43" s="67" t="n">
        <v>0</v>
      </c>
      <c r="D43" s="68" t="n">
        <v>0.372</v>
      </c>
      <c r="E43" s="68" t="n">
        <v>0.936</v>
      </c>
      <c r="F43" s="69" t="n">
        <v>0.7</v>
      </c>
    </row>
    <row r="44" customFormat="false" ht="15" hidden="false" customHeight="false" outlineLevel="0" collapsed="false">
      <c r="A44" s="66" t="s">
        <v>177</v>
      </c>
      <c r="B44" s="67" t="n">
        <v>16014</v>
      </c>
      <c r="C44" s="67" t="n">
        <v>1086</v>
      </c>
      <c r="D44" s="68" t="n">
        <v>0</v>
      </c>
      <c r="E44" s="68" t="n">
        <v>0</v>
      </c>
      <c r="F44" s="69" t="n">
        <v>0</v>
      </c>
    </row>
    <row r="45" customFormat="false" ht="15" hidden="false" customHeight="false" outlineLevel="0" collapsed="false">
      <c r="A45" s="66" t="s">
        <v>43</v>
      </c>
      <c r="B45" s="67" t="n">
        <v>871</v>
      </c>
      <c r="C45" s="67" t="n">
        <v>143</v>
      </c>
      <c r="D45" s="68" t="n">
        <v>0</v>
      </c>
      <c r="E45" s="68" t="n">
        <v>0</v>
      </c>
      <c r="F45" s="69" t="n">
        <v>0</v>
      </c>
    </row>
    <row r="47" customFormat="false" ht="15" hidden="false" customHeight="false" outlineLevel="0" collapsed="false">
      <c r="A47" s="70" t="s">
        <v>385</v>
      </c>
      <c r="B47" s="70"/>
      <c r="C47" s="70"/>
      <c r="D47" s="70"/>
      <c r="E47" s="70"/>
      <c r="F47" s="70"/>
    </row>
    <row r="48" customFormat="false" ht="15" hidden="false" customHeight="false" outlineLevel="0" collapsed="false">
      <c r="A48" s="6" t="s">
        <v>275</v>
      </c>
      <c r="B48" s="6" t="s">
        <v>386</v>
      </c>
      <c r="C48" s="6" t="s">
        <v>276</v>
      </c>
      <c r="D48" s="6" t="s">
        <v>132</v>
      </c>
      <c r="E48" s="6" t="s">
        <v>387</v>
      </c>
      <c r="F48" s="6" t="s">
        <v>75</v>
      </c>
    </row>
    <row r="49" customFormat="false" ht="15" hidden="false" customHeight="false" outlineLevel="0" collapsed="false">
      <c r="A49" s="63" t="s">
        <v>1065</v>
      </c>
      <c r="B49" s="63" t="s">
        <v>267</v>
      </c>
      <c r="C49" s="63" t="s">
        <v>339</v>
      </c>
      <c r="D49" s="64" t="n">
        <v>0</v>
      </c>
      <c r="E49" s="65" t="n">
        <v>0</v>
      </c>
      <c r="F49" s="63" t="s">
        <v>389</v>
      </c>
    </row>
    <row r="50" customFormat="false" ht="15" hidden="false" customHeight="false" outlineLevel="0" collapsed="false">
      <c r="A50" s="63" t="s">
        <v>1066</v>
      </c>
      <c r="B50" s="63" t="s">
        <v>267</v>
      </c>
      <c r="C50" s="63" t="s">
        <v>339</v>
      </c>
      <c r="D50" s="64" t="n">
        <v>0</v>
      </c>
      <c r="E50" s="65" t="n">
        <v>0</v>
      </c>
      <c r="F50" s="63" t="s">
        <v>389</v>
      </c>
    </row>
    <row r="51" customFormat="false" ht="15" hidden="false" customHeight="false" outlineLevel="0" collapsed="false">
      <c r="A51" s="63" t="s">
        <v>1067</v>
      </c>
      <c r="B51" s="63" t="s">
        <v>267</v>
      </c>
      <c r="C51" s="63" t="s">
        <v>339</v>
      </c>
      <c r="D51" s="64" t="n">
        <v>0</v>
      </c>
      <c r="E51" s="65" t="n">
        <v>0</v>
      </c>
      <c r="F51" s="63" t="s">
        <v>389</v>
      </c>
    </row>
    <row r="52" customFormat="false" ht="15" hidden="false" customHeight="false" outlineLevel="0" collapsed="false">
      <c r="A52" s="63" t="s">
        <v>1068</v>
      </c>
      <c r="B52" s="63" t="s">
        <v>267</v>
      </c>
      <c r="C52" s="63" t="s">
        <v>339</v>
      </c>
      <c r="D52" s="64" t="n">
        <v>0</v>
      </c>
      <c r="E52" s="65" t="n">
        <v>0</v>
      </c>
      <c r="F52" s="63" t="s">
        <v>389</v>
      </c>
    </row>
    <row r="53" customFormat="false" ht="15" hidden="false" customHeight="false" outlineLevel="0" collapsed="false">
      <c r="A53" s="63" t="s">
        <v>1069</v>
      </c>
      <c r="B53" s="63" t="s">
        <v>267</v>
      </c>
      <c r="C53" s="63" t="s">
        <v>339</v>
      </c>
      <c r="D53" s="64" t="n">
        <v>0</v>
      </c>
      <c r="E53" s="65" t="n">
        <v>0</v>
      </c>
      <c r="F53" s="63" t="s">
        <v>389</v>
      </c>
    </row>
    <row r="54" customFormat="false" ht="15" hidden="false" customHeight="false" outlineLevel="0" collapsed="false">
      <c r="A54" s="63" t="s">
        <v>1070</v>
      </c>
      <c r="B54" s="63" t="s">
        <v>267</v>
      </c>
      <c r="C54" s="63" t="s">
        <v>339</v>
      </c>
      <c r="D54" s="64" t="n">
        <v>0</v>
      </c>
      <c r="E54" s="65" t="n">
        <v>0</v>
      </c>
      <c r="F54" s="63" t="s">
        <v>389</v>
      </c>
    </row>
    <row r="55" customFormat="false" ht="15" hidden="false" customHeight="false" outlineLevel="0" collapsed="false">
      <c r="A55" s="63" t="s">
        <v>1071</v>
      </c>
      <c r="B55" s="63" t="s">
        <v>267</v>
      </c>
      <c r="C55" s="63" t="s">
        <v>339</v>
      </c>
      <c r="D55" s="64" t="n">
        <v>0</v>
      </c>
      <c r="E55" s="65" t="n">
        <v>0</v>
      </c>
      <c r="F55" s="63" t="s">
        <v>389</v>
      </c>
    </row>
    <row r="56" customFormat="false" ht="15" hidden="false" customHeight="false" outlineLevel="0" collapsed="false">
      <c r="A56" s="63" t="s">
        <v>1072</v>
      </c>
      <c r="B56" s="63" t="s">
        <v>267</v>
      </c>
      <c r="C56" s="63" t="s">
        <v>339</v>
      </c>
      <c r="D56" s="64" t="n">
        <v>0</v>
      </c>
      <c r="E56" s="65" t="n">
        <v>0</v>
      </c>
      <c r="F56" s="63" t="s">
        <v>389</v>
      </c>
    </row>
    <row r="57" customFormat="false" ht="15" hidden="false" customHeight="false" outlineLevel="0" collapsed="false">
      <c r="A57" s="77" t="s">
        <v>1073</v>
      </c>
      <c r="B57" s="77" t="s">
        <v>266</v>
      </c>
      <c r="C57" s="77" t="s">
        <v>344</v>
      </c>
      <c r="D57" s="78" t="n">
        <v>0</v>
      </c>
      <c r="E57" s="79" t="n">
        <v>0</v>
      </c>
      <c r="F57" s="77" t="s">
        <v>531</v>
      </c>
    </row>
    <row r="58" customFormat="false" ht="15" hidden="false" customHeight="false" outlineLevel="0" collapsed="false">
      <c r="A58" s="77" t="s">
        <v>1074</v>
      </c>
      <c r="B58" s="77" t="s">
        <v>266</v>
      </c>
      <c r="C58" s="77" t="s">
        <v>345</v>
      </c>
      <c r="D58" s="78" t="n">
        <v>0</v>
      </c>
      <c r="E58" s="79" t="n">
        <v>0</v>
      </c>
      <c r="F58" s="77" t="s">
        <v>531</v>
      </c>
    </row>
    <row r="59" customFormat="false" ht="15" hidden="false" customHeight="false" outlineLevel="0" collapsed="false">
      <c r="A59" s="77" t="s">
        <v>1075</v>
      </c>
      <c r="B59" s="77" t="s">
        <v>260</v>
      </c>
      <c r="C59" s="77" t="s">
        <v>344</v>
      </c>
      <c r="D59" s="78" t="n">
        <v>0</v>
      </c>
      <c r="E59" s="79" t="n">
        <v>0</v>
      </c>
      <c r="F59" s="77" t="s">
        <v>531</v>
      </c>
    </row>
    <row r="60" customFormat="false" ht="15" hidden="false" customHeight="false" outlineLevel="0" collapsed="false">
      <c r="A60" s="63" t="s">
        <v>1076</v>
      </c>
      <c r="B60" s="63" t="s">
        <v>269</v>
      </c>
      <c r="C60" s="63" t="s">
        <v>345</v>
      </c>
      <c r="D60" s="64" t="n">
        <v>0</v>
      </c>
      <c r="E60" s="65" t="n">
        <v>0</v>
      </c>
      <c r="F60" s="63" t="s">
        <v>389</v>
      </c>
    </row>
    <row r="61" customFormat="false" ht="15" hidden="false" customHeight="false" outlineLevel="0" collapsed="false">
      <c r="A61" s="77" t="s">
        <v>1077</v>
      </c>
      <c r="B61" s="77" t="s">
        <v>269</v>
      </c>
      <c r="C61" s="77" t="s">
        <v>345</v>
      </c>
      <c r="D61" s="78" t="n">
        <v>0</v>
      </c>
      <c r="E61" s="79" t="n">
        <v>0</v>
      </c>
      <c r="F61" s="77" t="s">
        <v>531</v>
      </c>
    </row>
    <row r="62" customFormat="false" ht="15" hidden="false" customHeight="false" outlineLevel="0" collapsed="false">
      <c r="A62" s="77" t="s">
        <v>1078</v>
      </c>
      <c r="B62" s="77" t="s">
        <v>268</v>
      </c>
      <c r="C62" s="77" t="s">
        <v>345</v>
      </c>
      <c r="D62" s="78" t="n">
        <v>0</v>
      </c>
      <c r="E62" s="79" t="n">
        <v>0</v>
      </c>
      <c r="F62" s="77" t="s">
        <v>531</v>
      </c>
    </row>
    <row r="63" customFormat="false" ht="15" hidden="false" customHeight="false" outlineLevel="0" collapsed="false">
      <c r="A63" s="63" t="s">
        <v>1079</v>
      </c>
      <c r="B63" s="63" t="s">
        <v>262</v>
      </c>
      <c r="C63" s="63" t="s">
        <v>345</v>
      </c>
      <c r="D63" s="64" t="n">
        <v>0</v>
      </c>
      <c r="E63" s="65" t="n">
        <v>0</v>
      </c>
      <c r="F63" s="63" t="s">
        <v>389</v>
      </c>
    </row>
    <row r="64" customFormat="false" ht="15" hidden="false" customHeight="false" outlineLevel="0" collapsed="false">
      <c r="A64" s="77" t="s">
        <v>1080</v>
      </c>
      <c r="B64" s="77" t="s">
        <v>263</v>
      </c>
      <c r="C64" s="77" t="s">
        <v>345</v>
      </c>
      <c r="D64" s="78" t="n">
        <v>0</v>
      </c>
      <c r="E64" s="79" t="n">
        <v>0</v>
      </c>
      <c r="F64" s="77" t="s">
        <v>531</v>
      </c>
    </row>
    <row r="65" customFormat="false" ht="15" hidden="false" customHeight="false" outlineLevel="0" collapsed="false">
      <c r="A65" s="77" t="s">
        <v>1081</v>
      </c>
      <c r="B65" s="77" t="s">
        <v>265</v>
      </c>
      <c r="C65" s="77" t="s">
        <v>345</v>
      </c>
      <c r="D65" s="78" t="n">
        <v>0</v>
      </c>
      <c r="E65" s="79" t="n">
        <v>0</v>
      </c>
      <c r="F65" s="77" t="s">
        <v>531</v>
      </c>
    </row>
    <row r="66" customFormat="false" ht="15" hidden="false" customHeight="false" outlineLevel="0" collapsed="false">
      <c r="A66" s="77" t="s">
        <v>1082</v>
      </c>
      <c r="B66" s="77" t="s">
        <v>268</v>
      </c>
      <c r="C66" s="77" t="s">
        <v>345</v>
      </c>
      <c r="D66" s="78" t="n">
        <v>0</v>
      </c>
      <c r="E66" s="79" t="n">
        <v>0</v>
      </c>
      <c r="F66" s="77" t="s">
        <v>531</v>
      </c>
    </row>
    <row r="67" customFormat="false" ht="15" hidden="false" customHeight="false" outlineLevel="0" collapsed="false">
      <c r="A67" s="77" t="s">
        <v>1083</v>
      </c>
      <c r="B67" s="77" t="s">
        <v>269</v>
      </c>
      <c r="C67" s="77" t="s">
        <v>345</v>
      </c>
      <c r="D67" s="78" t="n">
        <v>0</v>
      </c>
      <c r="E67" s="79" t="n">
        <v>0</v>
      </c>
      <c r="F67" s="77" t="s">
        <v>531</v>
      </c>
    </row>
    <row r="68" customFormat="false" ht="15" hidden="false" customHeight="false" outlineLevel="0" collapsed="false">
      <c r="A68" s="77" t="s">
        <v>1084</v>
      </c>
      <c r="B68" s="77" t="s">
        <v>269</v>
      </c>
      <c r="C68" s="77" t="s">
        <v>345</v>
      </c>
      <c r="D68" s="78" t="n">
        <v>0</v>
      </c>
      <c r="E68" s="79" t="n">
        <v>0</v>
      </c>
      <c r="F68" s="77" t="s">
        <v>531</v>
      </c>
    </row>
    <row r="69" customFormat="false" ht="15" hidden="false" customHeight="false" outlineLevel="0" collapsed="false">
      <c r="A69" s="77" t="s">
        <v>1085</v>
      </c>
      <c r="B69" s="77" t="s">
        <v>262</v>
      </c>
      <c r="C69" s="77" t="s">
        <v>345</v>
      </c>
      <c r="D69" s="78" t="n">
        <v>0</v>
      </c>
      <c r="E69" s="79" t="n">
        <v>0</v>
      </c>
      <c r="F69" s="77" t="s">
        <v>531</v>
      </c>
    </row>
    <row r="70" customFormat="false" ht="15" hidden="false" customHeight="false" outlineLevel="0" collapsed="false">
      <c r="A70" s="77" t="s">
        <v>1086</v>
      </c>
      <c r="B70" s="77" t="s">
        <v>263</v>
      </c>
      <c r="C70" s="77" t="s">
        <v>345</v>
      </c>
      <c r="D70" s="78" t="n">
        <v>0</v>
      </c>
      <c r="E70" s="79" t="n">
        <v>0</v>
      </c>
      <c r="F70" s="77" t="s">
        <v>531</v>
      </c>
    </row>
    <row r="71" customFormat="false" ht="15" hidden="false" customHeight="false" outlineLevel="0" collapsed="false">
      <c r="A71" s="63" t="s">
        <v>1087</v>
      </c>
      <c r="B71" s="63" t="s">
        <v>263</v>
      </c>
      <c r="C71" s="63" t="s">
        <v>345</v>
      </c>
      <c r="D71" s="64" t="n">
        <v>0</v>
      </c>
      <c r="E71" s="65" t="n">
        <v>0</v>
      </c>
      <c r="F71" s="63" t="s">
        <v>389</v>
      </c>
    </row>
    <row r="72" customFormat="false" ht="15" hidden="false" customHeight="false" outlineLevel="0" collapsed="false">
      <c r="A72" s="63" t="s">
        <v>1088</v>
      </c>
      <c r="B72" s="63" t="s">
        <v>269</v>
      </c>
      <c r="C72" s="63" t="s">
        <v>345</v>
      </c>
      <c r="D72" s="64" t="n">
        <v>0</v>
      </c>
      <c r="E72" s="65" t="n">
        <v>0</v>
      </c>
      <c r="F72" s="63" t="s">
        <v>389</v>
      </c>
    </row>
    <row r="73" customFormat="false" ht="15" hidden="false" customHeight="false" outlineLevel="0" collapsed="false">
      <c r="A73" s="63" t="s">
        <v>1089</v>
      </c>
      <c r="B73" s="63" t="s">
        <v>268</v>
      </c>
      <c r="C73" s="63" t="s">
        <v>345</v>
      </c>
      <c r="D73" s="64" t="n">
        <v>0</v>
      </c>
      <c r="E73" s="65" t="n">
        <v>0</v>
      </c>
      <c r="F73" s="63" t="s">
        <v>389</v>
      </c>
    </row>
    <row r="74" customFormat="false" ht="15" hidden="false" customHeight="false" outlineLevel="0" collapsed="false">
      <c r="A74" s="77" t="s">
        <v>1090</v>
      </c>
      <c r="B74" s="77" t="s">
        <v>268</v>
      </c>
      <c r="C74" s="77" t="s">
        <v>345</v>
      </c>
      <c r="D74" s="78" t="n">
        <v>0</v>
      </c>
      <c r="E74" s="79" t="n">
        <v>0</v>
      </c>
      <c r="F74" s="77" t="s">
        <v>531</v>
      </c>
    </row>
    <row r="75" customFormat="false" ht="15" hidden="false" customHeight="false" outlineLevel="0" collapsed="false">
      <c r="A75" s="77" t="s">
        <v>1091</v>
      </c>
      <c r="B75" s="77" t="s">
        <v>264</v>
      </c>
      <c r="C75" s="77" t="s">
        <v>345</v>
      </c>
      <c r="D75" s="78" t="n">
        <v>0</v>
      </c>
      <c r="E75" s="79" t="n">
        <v>0</v>
      </c>
      <c r="F75" s="77" t="s">
        <v>531</v>
      </c>
    </row>
    <row r="76" customFormat="false" ht="15" hidden="false" customHeight="false" outlineLevel="0" collapsed="false">
      <c r="A76" s="77" t="s">
        <v>1092</v>
      </c>
      <c r="B76" s="77" t="s">
        <v>269</v>
      </c>
      <c r="C76" s="77" t="s">
        <v>345</v>
      </c>
      <c r="D76" s="78" t="n">
        <v>0</v>
      </c>
      <c r="E76" s="79" t="n">
        <v>0</v>
      </c>
      <c r="F76" s="77" t="s">
        <v>531</v>
      </c>
    </row>
    <row r="77" customFormat="false" ht="15" hidden="false" customHeight="false" outlineLevel="0" collapsed="false">
      <c r="A77" s="77" t="s">
        <v>1093</v>
      </c>
      <c r="B77" s="77" t="s">
        <v>262</v>
      </c>
      <c r="C77" s="77" t="s">
        <v>345</v>
      </c>
      <c r="D77" s="78" t="n">
        <v>0</v>
      </c>
      <c r="E77" s="79" t="n">
        <v>0</v>
      </c>
      <c r="F77" s="77" t="s">
        <v>531</v>
      </c>
    </row>
    <row r="78" customFormat="false" ht="15" hidden="false" customHeight="false" outlineLevel="0" collapsed="false">
      <c r="A78" s="63" t="s">
        <v>1094</v>
      </c>
      <c r="B78" s="63" t="s">
        <v>268</v>
      </c>
      <c r="C78" s="63" t="s">
        <v>345</v>
      </c>
      <c r="D78" s="64" t="n">
        <v>0</v>
      </c>
      <c r="E78" s="65" t="n">
        <v>0</v>
      </c>
      <c r="F78" s="63" t="s">
        <v>389</v>
      </c>
    </row>
    <row r="79" customFormat="false" ht="15" hidden="false" customHeight="false" outlineLevel="0" collapsed="false">
      <c r="A79" s="77" t="s">
        <v>1095</v>
      </c>
      <c r="B79" s="77" t="s">
        <v>266</v>
      </c>
      <c r="C79" s="77" t="s">
        <v>345</v>
      </c>
      <c r="D79" s="78" t="n">
        <v>0</v>
      </c>
      <c r="E79" s="79" t="n">
        <v>0</v>
      </c>
      <c r="F79" s="77" t="s">
        <v>531</v>
      </c>
    </row>
    <row r="80" customFormat="false" ht="15" hidden="false" customHeight="false" outlineLevel="0" collapsed="false">
      <c r="A80" s="77" t="s">
        <v>1096</v>
      </c>
      <c r="B80" s="77" t="s">
        <v>263</v>
      </c>
      <c r="C80" s="77" t="s">
        <v>345</v>
      </c>
      <c r="D80" s="78" t="n">
        <v>0</v>
      </c>
      <c r="E80" s="79" t="n">
        <v>0</v>
      </c>
      <c r="F80" s="77" t="s">
        <v>531</v>
      </c>
    </row>
    <row r="81" customFormat="false" ht="15" hidden="false" customHeight="false" outlineLevel="0" collapsed="false">
      <c r="A81" s="63" t="s">
        <v>1097</v>
      </c>
      <c r="B81" s="63" t="s">
        <v>262</v>
      </c>
      <c r="C81" s="63" t="s">
        <v>345</v>
      </c>
      <c r="D81" s="64" t="n">
        <v>0</v>
      </c>
      <c r="E81" s="65" t="n">
        <v>0</v>
      </c>
      <c r="F81" s="63" t="s">
        <v>389</v>
      </c>
    </row>
    <row r="82" customFormat="false" ht="15" hidden="false" customHeight="false" outlineLevel="0" collapsed="false">
      <c r="A82" s="77" t="s">
        <v>1098</v>
      </c>
      <c r="B82" s="77" t="s">
        <v>265</v>
      </c>
      <c r="C82" s="77" t="s">
        <v>345</v>
      </c>
      <c r="D82" s="78" t="n">
        <v>0</v>
      </c>
      <c r="E82" s="79" t="n">
        <v>0</v>
      </c>
      <c r="F82" s="77" t="s">
        <v>531</v>
      </c>
    </row>
    <row r="83" customFormat="false" ht="15" hidden="false" customHeight="false" outlineLevel="0" collapsed="false">
      <c r="A83" s="77" t="s">
        <v>1099</v>
      </c>
      <c r="B83" s="77" t="s">
        <v>263</v>
      </c>
      <c r="C83" s="77" t="s">
        <v>345</v>
      </c>
      <c r="D83" s="78" t="n">
        <v>0</v>
      </c>
      <c r="E83" s="79" t="n">
        <v>0</v>
      </c>
      <c r="F83" s="77" t="s">
        <v>531</v>
      </c>
    </row>
    <row r="84" customFormat="false" ht="15" hidden="false" customHeight="false" outlineLevel="0" collapsed="false">
      <c r="A84" s="77" t="s">
        <v>1100</v>
      </c>
      <c r="B84" s="77" t="s">
        <v>269</v>
      </c>
      <c r="C84" s="77" t="s">
        <v>346</v>
      </c>
      <c r="D84" s="78" t="n">
        <v>0</v>
      </c>
      <c r="E84" s="79" t="n">
        <v>0</v>
      </c>
      <c r="F84" s="77" t="s">
        <v>531</v>
      </c>
    </row>
    <row r="85" customFormat="false" ht="15" hidden="false" customHeight="false" outlineLevel="0" collapsed="false">
      <c r="A85" s="77" t="s">
        <v>1101</v>
      </c>
      <c r="B85" s="77" t="s">
        <v>260</v>
      </c>
      <c r="C85" s="77" t="s">
        <v>345</v>
      </c>
      <c r="D85" s="78" t="n">
        <v>0</v>
      </c>
      <c r="E85" s="79" t="n">
        <v>0</v>
      </c>
      <c r="F85" s="77" t="s">
        <v>531</v>
      </c>
    </row>
    <row r="86" customFormat="false" ht="15" hidden="false" customHeight="false" outlineLevel="0" collapsed="false">
      <c r="A86" s="77" t="s">
        <v>1102</v>
      </c>
      <c r="B86" s="77" t="s">
        <v>261</v>
      </c>
      <c r="C86" s="77" t="s">
        <v>345</v>
      </c>
      <c r="D86" s="78" t="n">
        <v>0</v>
      </c>
      <c r="E86" s="79" t="n">
        <v>0</v>
      </c>
      <c r="F86" s="77" t="s">
        <v>531</v>
      </c>
    </row>
    <row r="87" customFormat="false" ht="15" hidden="false" customHeight="false" outlineLevel="0" collapsed="false">
      <c r="A87" s="77" t="s">
        <v>1103</v>
      </c>
      <c r="B87" s="77" t="s">
        <v>263</v>
      </c>
      <c r="C87" s="77" t="s">
        <v>345</v>
      </c>
      <c r="D87" s="78" t="n">
        <v>0</v>
      </c>
      <c r="E87" s="79" t="n">
        <v>0</v>
      </c>
      <c r="F87" s="77" t="s">
        <v>531</v>
      </c>
    </row>
    <row r="88" customFormat="false" ht="15" hidden="false" customHeight="false" outlineLevel="0" collapsed="false">
      <c r="A88" s="77" t="s">
        <v>1104</v>
      </c>
      <c r="B88" s="77" t="s">
        <v>268</v>
      </c>
      <c r="C88" s="77" t="s">
        <v>345</v>
      </c>
      <c r="D88" s="78" t="n">
        <v>0</v>
      </c>
      <c r="E88" s="79" t="n">
        <v>0</v>
      </c>
      <c r="F88" s="77" t="s">
        <v>531</v>
      </c>
    </row>
    <row r="89" customFormat="false" ht="15" hidden="false" customHeight="false" outlineLevel="0" collapsed="false">
      <c r="A89" s="77" t="s">
        <v>1105</v>
      </c>
      <c r="B89" s="77" t="s">
        <v>262</v>
      </c>
      <c r="C89" s="77" t="s">
        <v>345</v>
      </c>
      <c r="D89" s="78" t="n">
        <v>0</v>
      </c>
      <c r="E89" s="79" t="n">
        <v>0</v>
      </c>
      <c r="F89" s="77" t="s">
        <v>531</v>
      </c>
    </row>
    <row r="90" customFormat="false" ht="15" hidden="false" customHeight="false" outlineLevel="0" collapsed="false">
      <c r="A90" s="77" t="s">
        <v>1106</v>
      </c>
      <c r="B90" s="77" t="s">
        <v>262</v>
      </c>
      <c r="C90" s="77" t="s">
        <v>345</v>
      </c>
      <c r="D90" s="78" t="n">
        <v>0</v>
      </c>
      <c r="E90" s="79" t="n">
        <v>0</v>
      </c>
      <c r="F90" s="77" t="s">
        <v>531</v>
      </c>
    </row>
    <row r="91" customFormat="false" ht="15" hidden="false" customHeight="false" outlineLevel="0" collapsed="false">
      <c r="A91" s="63" t="s">
        <v>1107</v>
      </c>
      <c r="B91" s="63" t="s">
        <v>265</v>
      </c>
      <c r="C91" s="63" t="s">
        <v>341</v>
      </c>
      <c r="D91" s="64" t="n">
        <v>0</v>
      </c>
      <c r="E91" s="65" t="n">
        <v>0</v>
      </c>
      <c r="F91" s="63" t="s">
        <v>389</v>
      </c>
    </row>
    <row r="92" customFormat="false" ht="15" hidden="false" customHeight="false" outlineLevel="0" collapsed="false">
      <c r="A92" s="63" t="s">
        <v>1108</v>
      </c>
      <c r="B92" s="63" t="s">
        <v>269</v>
      </c>
      <c r="C92" s="63" t="s">
        <v>346</v>
      </c>
      <c r="D92" s="64" t="n">
        <v>0</v>
      </c>
      <c r="E92" s="65" t="n">
        <v>0</v>
      </c>
      <c r="F92" s="63" t="s">
        <v>389</v>
      </c>
    </row>
    <row r="93" customFormat="false" ht="15" hidden="false" customHeight="false" outlineLevel="0" collapsed="false">
      <c r="A93" s="63" t="s">
        <v>1109</v>
      </c>
      <c r="B93" s="63" t="s">
        <v>269</v>
      </c>
      <c r="C93" s="63" t="s">
        <v>346</v>
      </c>
      <c r="D93" s="64" t="n">
        <v>0</v>
      </c>
      <c r="E93" s="65" t="n">
        <v>0</v>
      </c>
      <c r="F93" s="63" t="s">
        <v>389</v>
      </c>
    </row>
    <row r="94" customFormat="false" ht="15" hidden="false" customHeight="false" outlineLevel="0" collapsed="false">
      <c r="A94" s="77" t="s">
        <v>1110</v>
      </c>
      <c r="B94" s="77" t="s">
        <v>263</v>
      </c>
      <c r="C94" s="77" t="s">
        <v>345</v>
      </c>
      <c r="D94" s="78" t="n">
        <v>0</v>
      </c>
      <c r="E94" s="79" t="n">
        <v>0</v>
      </c>
      <c r="F94" s="77" t="s">
        <v>531</v>
      </c>
    </row>
    <row r="95" customFormat="false" ht="15" hidden="false" customHeight="false" outlineLevel="0" collapsed="false">
      <c r="A95" s="77" t="s">
        <v>1111</v>
      </c>
      <c r="B95" s="77" t="s">
        <v>269</v>
      </c>
      <c r="C95" s="77" t="s">
        <v>346</v>
      </c>
      <c r="D95" s="78" t="n">
        <v>0</v>
      </c>
      <c r="E95" s="79" t="n">
        <v>0</v>
      </c>
      <c r="F95" s="77" t="s">
        <v>531</v>
      </c>
    </row>
    <row r="96" customFormat="false" ht="15" hidden="false" customHeight="false" outlineLevel="0" collapsed="false">
      <c r="A96" s="77" t="s">
        <v>1112</v>
      </c>
      <c r="B96" s="77" t="s">
        <v>268</v>
      </c>
      <c r="C96" s="77" t="s">
        <v>345</v>
      </c>
      <c r="D96" s="78" t="n">
        <v>0</v>
      </c>
      <c r="E96" s="79" t="n">
        <v>0</v>
      </c>
      <c r="F96" s="77" t="s">
        <v>531</v>
      </c>
    </row>
    <row r="97" customFormat="false" ht="15" hidden="false" customHeight="false" outlineLevel="0" collapsed="false">
      <c r="A97" s="77" t="s">
        <v>1113</v>
      </c>
      <c r="B97" s="77" t="s">
        <v>268</v>
      </c>
      <c r="C97" s="77" t="s">
        <v>345</v>
      </c>
      <c r="D97" s="78" t="n">
        <v>0</v>
      </c>
      <c r="E97" s="79" t="n">
        <v>0</v>
      </c>
      <c r="F97" s="77" t="s">
        <v>531</v>
      </c>
    </row>
    <row r="98" customFormat="false" ht="15" hidden="false" customHeight="false" outlineLevel="0" collapsed="false">
      <c r="A98" s="60" t="s">
        <v>1114</v>
      </c>
      <c r="B98" s="60" t="s">
        <v>267</v>
      </c>
      <c r="C98" s="60" t="s">
        <v>339</v>
      </c>
      <c r="D98" s="61" t="n">
        <v>1</v>
      </c>
      <c r="E98" s="62" t="n">
        <v>0.1</v>
      </c>
      <c r="F98" s="60" t="s">
        <v>391</v>
      </c>
    </row>
    <row r="99" customFormat="false" ht="15" hidden="false" customHeight="false" outlineLevel="0" collapsed="false">
      <c r="A99" s="60" t="s">
        <v>1115</v>
      </c>
      <c r="B99" s="60" t="s">
        <v>264</v>
      </c>
      <c r="C99" s="60" t="s">
        <v>345</v>
      </c>
      <c r="D99" s="61" t="n">
        <v>1</v>
      </c>
      <c r="E99" s="62" t="n">
        <v>0.1</v>
      </c>
      <c r="F99" s="60" t="s">
        <v>391</v>
      </c>
    </row>
    <row r="100" customFormat="false" ht="15" hidden="false" customHeight="false" outlineLevel="0" collapsed="false">
      <c r="A100" s="60" t="s">
        <v>1116</v>
      </c>
      <c r="B100" s="60" t="s">
        <v>267</v>
      </c>
      <c r="C100" s="60" t="s">
        <v>339</v>
      </c>
      <c r="D100" s="61" t="n">
        <v>1</v>
      </c>
      <c r="E100" s="62" t="n">
        <v>0.1</v>
      </c>
      <c r="F100" s="60" t="s">
        <v>391</v>
      </c>
    </row>
    <row r="101" customFormat="false" ht="15" hidden="false" customHeight="false" outlineLevel="0" collapsed="false">
      <c r="A101" s="60" t="s">
        <v>1117</v>
      </c>
      <c r="B101" s="60" t="s">
        <v>266</v>
      </c>
      <c r="C101" s="60" t="s">
        <v>345</v>
      </c>
      <c r="D101" s="61" t="n">
        <v>1</v>
      </c>
      <c r="E101" s="62" t="n">
        <v>0.1</v>
      </c>
      <c r="F101" s="60" t="s">
        <v>391</v>
      </c>
    </row>
    <row r="102" customFormat="false" ht="15" hidden="false" customHeight="false" outlineLevel="0" collapsed="false">
      <c r="A102" s="60" t="s">
        <v>1118</v>
      </c>
      <c r="B102" s="60" t="s">
        <v>264</v>
      </c>
      <c r="C102" s="60" t="s">
        <v>345</v>
      </c>
      <c r="D102" s="61" t="n">
        <v>1</v>
      </c>
      <c r="E102" s="62" t="n">
        <v>0.1</v>
      </c>
      <c r="F102" s="60" t="s">
        <v>391</v>
      </c>
    </row>
    <row r="103" customFormat="false" ht="15" hidden="false" customHeight="false" outlineLevel="0" collapsed="false">
      <c r="A103" s="60" t="s">
        <v>1119</v>
      </c>
      <c r="B103" s="60" t="s">
        <v>267</v>
      </c>
      <c r="C103" s="60" t="s">
        <v>339</v>
      </c>
      <c r="D103" s="61" t="n">
        <v>1.4</v>
      </c>
      <c r="E103" s="62" t="n">
        <v>0.1</v>
      </c>
      <c r="F103" s="60" t="s">
        <v>391</v>
      </c>
    </row>
    <row r="104" customFormat="false" ht="15" hidden="false" customHeight="false" outlineLevel="0" collapsed="false">
      <c r="A104" s="60" t="s">
        <v>1120</v>
      </c>
      <c r="B104" s="60" t="s">
        <v>264</v>
      </c>
      <c r="C104" s="60" t="s">
        <v>345</v>
      </c>
      <c r="D104" s="61" t="n">
        <v>2</v>
      </c>
      <c r="E104" s="62" t="n">
        <v>0.2</v>
      </c>
      <c r="F104" s="60" t="s">
        <v>391</v>
      </c>
    </row>
    <row r="105" customFormat="false" ht="15" hidden="false" customHeight="false" outlineLevel="0" collapsed="false">
      <c r="A105" s="60" t="s">
        <v>1121</v>
      </c>
      <c r="B105" s="60" t="s">
        <v>266</v>
      </c>
      <c r="C105" s="60" t="s">
        <v>345</v>
      </c>
      <c r="D105" s="61" t="n">
        <v>2</v>
      </c>
      <c r="E105" s="62" t="n">
        <v>0.2</v>
      </c>
      <c r="F105" s="60" t="s">
        <v>391</v>
      </c>
    </row>
    <row r="106" customFormat="false" ht="15" hidden="false" customHeight="false" outlineLevel="0" collapsed="false">
      <c r="A106" s="60" t="s">
        <v>1122</v>
      </c>
      <c r="B106" s="60" t="s">
        <v>266</v>
      </c>
      <c r="C106" s="60" t="s">
        <v>346</v>
      </c>
      <c r="D106" s="61" t="n">
        <v>4</v>
      </c>
      <c r="E106" s="62" t="n">
        <v>0.3</v>
      </c>
      <c r="F106" s="60" t="s">
        <v>391</v>
      </c>
    </row>
    <row r="107" customFormat="false" ht="15" hidden="false" customHeight="false" outlineLevel="0" collapsed="false">
      <c r="A107" s="60" t="s">
        <v>1123</v>
      </c>
      <c r="B107" s="60" t="s">
        <v>266</v>
      </c>
      <c r="C107" s="60" t="s">
        <v>345</v>
      </c>
      <c r="D107" s="61" t="n">
        <v>4</v>
      </c>
      <c r="E107" s="62" t="n">
        <v>0.3</v>
      </c>
      <c r="F107" s="60" t="s">
        <v>391</v>
      </c>
    </row>
    <row r="108" customFormat="false" ht="15" hidden="false" customHeight="false" outlineLevel="0" collapsed="false">
      <c r="A108" s="60" t="s">
        <v>1124</v>
      </c>
      <c r="B108" s="60" t="s">
        <v>266</v>
      </c>
      <c r="C108" s="60" t="s">
        <v>345</v>
      </c>
      <c r="D108" s="61" t="n">
        <v>5</v>
      </c>
      <c r="E108" s="62" t="n">
        <v>0.4</v>
      </c>
      <c r="F108" s="60" t="s">
        <v>391</v>
      </c>
    </row>
    <row r="109" customFormat="false" ht="15" hidden="false" customHeight="false" outlineLevel="0" collapsed="false">
      <c r="A109" s="60" t="s">
        <v>1125</v>
      </c>
      <c r="B109" s="60" t="s">
        <v>264</v>
      </c>
      <c r="C109" s="60" t="s">
        <v>345</v>
      </c>
      <c r="D109" s="61" t="n">
        <v>5</v>
      </c>
      <c r="E109" s="62" t="n">
        <v>0.4</v>
      </c>
      <c r="F109" s="60" t="s">
        <v>391</v>
      </c>
    </row>
    <row r="110" customFormat="false" ht="15" hidden="false" customHeight="false" outlineLevel="0" collapsed="false">
      <c r="A110" s="60" t="s">
        <v>1126</v>
      </c>
      <c r="B110" s="60" t="s">
        <v>264</v>
      </c>
      <c r="C110" s="60" t="s">
        <v>345</v>
      </c>
      <c r="D110" s="61" t="n">
        <v>6</v>
      </c>
      <c r="E110" s="62" t="n">
        <v>0.5</v>
      </c>
      <c r="F110" s="60" t="s">
        <v>391</v>
      </c>
    </row>
    <row r="111" customFormat="false" ht="15" hidden="false" customHeight="false" outlineLevel="0" collapsed="false">
      <c r="A111" s="60" t="s">
        <v>1127</v>
      </c>
      <c r="B111" s="60" t="s">
        <v>265</v>
      </c>
      <c r="C111" s="60" t="s">
        <v>345</v>
      </c>
      <c r="D111" s="61" t="n">
        <v>9.9</v>
      </c>
      <c r="E111" s="62" t="n">
        <v>0.8</v>
      </c>
      <c r="F111" s="60" t="s">
        <v>391</v>
      </c>
    </row>
    <row r="112" customFormat="false" ht="15" hidden="false" customHeight="false" outlineLevel="0" collapsed="false">
      <c r="A112" s="60" t="s">
        <v>1128</v>
      </c>
      <c r="B112" s="60" t="s">
        <v>266</v>
      </c>
      <c r="C112" s="60" t="s">
        <v>345</v>
      </c>
      <c r="D112" s="61" t="n">
        <v>10</v>
      </c>
      <c r="E112" s="62" t="n">
        <v>0.8</v>
      </c>
      <c r="F112" s="60" t="s">
        <v>391</v>
      </c>
    </row>
    <row r="113" customFormat="false" ht="15" hidden="false" customHeight="false" outlineLevel="0" collapsed="false">
      <c r="A113" s="60" t="s">
        <v>1129</v>
      </c>
      <c r="B113" s="60" t="s">
        <v>265</v>
      </c>
      <c r="C113" s="60" t="s">
        <v>345</v>
      </c>
      <c r="D113" s="61" t="n">
        <v>10.5</v>
      </c>
      <c r="E113" s="62" t="n">
        <v>0.8</v>
      </c>
      <c r="F113" s="60" t="s">
        <v>391</v>
      </c>
    </row>
    <row r="114" customFormat="false" ht="15" hidden="false" customHeight="false" outlineLevel="0" collapsed="false">
      <c r="A114" s="60" t="s">
        <v>1130</v>
      </c>
      <c r="B114" s="60" t="s">
        <v>265</v>
      </c>
      <c r="C114" s="60" t="s">
        <v>345</v>
      </c>
      <c r="D114" s="61" t="n">
        <v>11.1</v>
      </c>
      <c r="E114" s="62" t="n">
        <v>0.9</v>
      </c>
      <c r="F114" s="60" t="s">
        <v>391</v>
      </c>
    </row>
    <row r="115" customFormat="false" ht="15" hidden="false" customHeight="false" outlineLevel="0" collapsed="false">
      <c r="A115" s="60" t="s">
        <v>1131</v>
      </c>
      <c r="B115" s="60" t="s">
        <v>265</v>
      </c>
      <c r="C115" s="60" t="s">
        <v>345</v>
      </c>
      <c r="D115" s="61" t="n">
        <v>11.4</v>
      </c>
      <c r="E115" s="62" t="n">
        <v>0.9</v>
      </c>
      <c r="F115" s="60" t="s">
        <v>391</v>
      </c>
    </row>
    <row r="116" customFormat="false" ht="15" hidden="false" customHeight="false" outlineLevel="0" collapsed="false">
      <c r="A116" s="60" t="s">
        <v>1132</v>
      </c>
      <c r="B116" s="60" t="s">
        <v>266</v>
      </c>
      <c r="C116" s="60" t="s">
        <v>345</v>
      </c>
      <c r="D116" s="61" t="n">
        <v>12</v>
      </c>
      <c r="E116" s="62" t="n">
        <v>0.9</v>
      </c>
      <c r="F116" s="60" t="s">
        <v>391</v>
      </c>
    </row>
    <row r="117" customFormat="false" ht="15" hidden="false" customHeight="false" outlineLevel="0" collapsed="false">
      <c r="A117" s="60" t="s">
        <v>1133</v>
      </c>
      <c r="B117" s="60" t="s">
        <v>264</v>
      </c>
      <c r="C117" s="60" t="s">
        <v>345</v>
      </c>
      <c r="D117" s="61" t="n">
        <v>16</v>
      </c>
      <c r="E117" s="62" t="n">
        <v>1.2</v>
      </c>
      <c r="F117" s="60" t="s">
        <v>391</v>
      </c>
    </row>
    <row r="118" customFormat="false" ht="15" hidden="false" customHeight="false" outlineLevel="0" collapsed="false">
      <c r="A118" s="60" t="s">
        <v>1134</v>
      </c>
      <c r="B118" s="60" t="s">
        <v>264</v>
      </c>
      <c r="C118" s="60" t="s">
        <v>345</v>
      </c>
      <c r="D118" s="61" t="n">
        <v>20</v>
      </c>
      <c r="E118" s="62" t="n">
        <v>1.6</v>
      </c>
      <c r="F118" s="60" t="s">
        <v>391</v>
      </c>
    </row>
    <row r="119" customFormat="false" ht="15" hidden="false" customHeight="false" outlineLevel="0" collapsed="false">
      <c r="A119" s="60" t="s">
        <v>1135</v>
      </c>
      <c r="B119" s="60" t="s">
        <v>264</v>
      </c>
      <c r="C119" s="60" t="s">
        <v>345</v>
      </c>
      <c r="D119" s="61" t="n">
        <v>21</v>
      </c>
      <c r="E119" s="62" t="n">
        <v>1.6</v>
      </c>
      <c r="F119" s="60" t="s">
        <v>391</v>
      </c>
    </row>
    <row r="120" customFormat="false" ht="15" hidden="false" customHeight="false" outlineLevel="0" collapsed="false">
      <c r="A120" s="60" t="s">
        <v>1136</v>
      </c>
      <c r="B120" s="60" t="s">
        <v>262</v>
      </c>
      <c r="C120" s="60" t="s">
        <v>345</v>
      </c>
      <c r="D120" s="61" t="n">
        <v>30.9</v>
      </c>
      <c r="E120" s="62" t="n">
        <v>2.4</v>
      </c>
      <c r="F120" s="60" t="s">
        <v>391</v>
      </c>
    </row>
    <row r="121" customFormat="false" ht="15" hidden="false" customHeight="false" outlineLevel="0" collapsed="false">
      <c r="A121" s="60" t="s">
        <v>1137</v>
      </c>
      <c r="B121" s="60" t="s">
        <v>257</v>
      </c>
      <c r="C121" s="60" t="s">
        <v>342</v>
      </c>
      <c r="D121" s="61" t="n">
        <v>32</v>
      </c>
      <c r="E121" s="62" t="n">
        <v>2.5</v>
      </c>
      <c r="F121" s="60" t="s">
        <v>391</v>
      </c>
    </row>
    <row r="122" customFormat="false" ht="15" hidden="false" customHeight="false" outlineLevel="0" collapsed="false">
      <c r="A122" s="60" t="s">
        <v>1138</v>
      </c>
      <c r="B122" s="60" t="s">
        <v>260</v>
      </c>
      <c r="C122" s="60" t="s">
        <v>345</v>
      </c>
      <c r="D122" s="61" t="n">
        <v>34.4</v>
      </c>
      <c r="E122" s="62" t="n">
        <v>2.7</v>
      </c>
      <c r="F122" s="60" t="s">
        <v>391</v>
      </c>
    </row>
    <row r="123" customFormat="false" ht="15" hidden="false" customHeight="false" outlineLevel="0" collapsed="false">
      <c r="A123" s="60" t="s">
        <v>1139</v>
      </c>
      <c r="B123" s="60" t="s">
        <v>263</v>
      </c>
      <c r="C123" s="60" t="s">
        <v>345</v>
      </c>
      <c r="D123" s="61" t="n">
        <v>46</v>
      </c>
      <c r="E123" s="62" t="n">
        <v>3.6</v>
      </c>
      <c r="F123" s="60" t="s">
        <v>391</v>
      </c>
    </row>
    <row r="124" customFormat="false" ht="15" hidden="false" customHeight="false" outlineLevel="0" collapsed="false">
      <c r="A124" s="60" t="s">
        <v>1140</v>
      </c>
      <c r="B124" s="60" t="s">
        <v>257</v>
      </c>
      <c r="C124" s="60" t="s">
        <v>342</v>
      </c>
      <c r="D124" s="61" t="n">
        <v>46.4</v>
      </c>
      <c r="E124" s="62" t="n">
        <v>3.6</v>
      </c>
      <c r="F124" s="60" t="s">
        <v>391</v>
      </c>
    </row>
    <row r="125" customFormat="false" ht="15" hidden="false" customHeight="false" outlineLevel="0" collapsed="false">
      <c r="A125" s="60" t="s">
        <v>1141</v>
      </c>
      <c r="B125" s="60" t="s">
        <v>263</v>
      </c>
      <c r="C125" s="60" t="s">
        <v>345</v>
      </c>
      <c r="D125" s="61" t="n">
        <v>49</v>
      </c>
      <c r="E125" s="62" t="n">
        <v>3.8</v>
      </c>
      <c r="F125" s="60" t="s">
        <v>391</v>
      </c>
    </row>
    <row r="126" customFormat="false" ht="15" hidden="false" customHeight="false" outlineLevel="0" collapsed="false">
      <c r="A126" s="60" t="s">
        <v>1142</v>
      </c>
      <c r="B126" s="60" t="s">
        <v>259</v>
      </c>
      <c r="C126" s="60" t="s">
        <v>345</v>
      </c>
      <c r="D126" s="61" t="n">
        <v>51</v>
      </c>
      <c r="E126" s="62" t="n">
        <v>4</v>
      </c>
      <c r="F126" s="60" t="s">
        <v>391</v>
      </c>
    </row>
    <row r="127" customFormat="false" ht="15" hidden="false" customHeight="false" outlineLevel="0" collapsed="false">
      <c r="A127" s="60" t="s">
        <v>1143</v>
      </c>
      <c r="B127" s="60" t="s">
        <v>260</v>
      </c>
      <c r="C127" s="60" t="s">
        <v>345</v>
      </c>
      <c r="D127" s="61" t="n">
        <v>59</v>
      </c>
      <c r="E127" s="62" t="n">
        <v>4.6</v>
      </c>
      <c r="F127" s="60" t="s">
        <v>391</v>
      </c>
    </row>
    <row r="128" customFormat="false" ht="15" hidden="false" customHeight="false" outlineLevel="0" collapsed="false">
      <c r="A128" s="60" t="s">
        <v>1144</v>
      </c>
      <c r="B128" s="60" t="s">
        <v>260</v>
      </c>
      <c r="C128" s="60" t="s">
        <v>345</v>
      </c>
      <c r="D128" s="61" t="n">
        <v>59.8</v>
      </c>
      <c r="E128" s="62" t="n">
        <v>4.7</v>
      </c>
      <c r="F128" s="60" t="s">
        <v>391</v>
      </c>
    </row>
    <row r="129" customFormat="false" ht="15" hidden="false" customHeight="false" outlineLevel="0" collapsed="false">
      <c r="A129" s="60" t="s">
        <v>1145</v>
      </c>
      <c r="B129" s="60" t="s">
        <v>258</v>
      </c>
      <c r="C129" s="60" t="s">
        <v>342</v>
      </c>
      <c r="D129" s="61" t="n">
        <v>65.8</v>
      </c>
      <c r="E129" s="62" t="n">
        <v>5.1</v>
      </c>
      <c r="F129" s="60" t="s">
        <v>391</v>
      </c>
    </row>
    <row r="130" customFormat="false" ht="15" hidden="false" customHeight="false" outlineLevel="0" collapsed="false">
      <c r="A130" s="60" t="s">
        <v>1146</v>
      </c>
      <c r="B130" s="60" t="s">
        <v>260</v>
      </c>
      <c r="C130" s="60" t="s">
        <v>345</v>
      </c>
      <c r="D130" s="61" t="n">
        <v>66.8</v>
      </c>
      <c r="E130" s="62" t="n">
        <v>5.2</v>
      </c>
      <c r="F130" s="60" t="s">
        <v>391</v>
      </c>
    </row>
    <row r="131" customFormat="false" ht="15" hidden="false" customHeight="false" outlineLevel="0" collapsed="false">
      <c r="A131" s="60" t="s">
        <v>1147</v>
      </c>
      <c r="B131" s="60" t="s">
        <v>257</v>
      </c>
      <c r="C131" s="60" t="s">
        <v>342</v>
      </c>
      <c r="D131" s="61" t="n">
        <v>70.4</v>
      </c>
      <c r="E131" s="62" t="n">
        <v>5.5</v>
      </c>
      <c r="F131" s="60" t="s">
        <v>391</v>
      </c>
    </row>
    <row r="132" customFormat="false" ht="15" hidden="false" customHeight="false" outlineLevel="0" collapsed="false">
      <c r="A132" s="60" t="s">
        <v>1148</v>
      </c>
      <c r="B132" s="60" t="s">
        <v>260</v>
      </c>
      <c r="C132" s="60" t="s">
        <v>345</v>
      </c>
      <c r="D132" s="61" t="n">
        <v>71</v>
      </c>
      <c r="E132" s="62" t="n">
        <v>5.5</v>
      </c>
      <c r="F132" s="60" t="s">
        <v>391</v>
      </c>
    </row>
    <row r="133" customFormat="false" ht="15" hidden="false" customHeight="false" outlineLevel="0" collapsed="false">
      <c r="A133" s="60" t="s">
        <v>1149</v>
      </c>
      <c r="B133" s="60" t="s">
        <v>259</v>
      </c>
      <c r="C133" s="60" t="s">
        <v>345</v>
      </c>
      <c r="D133" s="61" t="n">
        <v>77</v>
      </c>
      <c r="E133" s="62" t="n">
        <v>6</v>
      </c>
      <c r="F133" s="60" t="s">
        <v>391</v>
      </c>
    </row>
    <row r="134" customFormat="false" ht="15" hidden="false" customHeight="false" outlineLevel="0" collapsed="false">
      <c r="A134" s="60" t="s">
        <v>1150</v>
      </c>
      <c r="B134" s="60" t="s">
        <v>261</v>
      </c>
      <c r="C134" s="60" t="s">
        <v>345</v>
      </c>
      <c r="D134" s="61" t="n">
        <v>77</v>
      </c>
      <c r="E134" s="62" t="n">
        <v>6</v>
      </c>
      <c r="F134" s="60" t="s">
        <v>391</v>
      </c>
    </row>
    <row r="135" customFormat="false" ht="15" hidden="false" customHeight="false" outlineLevel="0" collapsed="false">
      <c r="A135" s="60" t="s">
        <v>1151</v>
      </c>
      <c r="B135" s="60" t="s">
        <v>258</v>
      </c>
      <c r="C135" s="60" t="s">
        <v>342</v>
      </c>
      <c r="D135" s="61" t="n">
        <v>81.4</v>
      </c>
      <c r="E135" s="62" t="n">
        <v>6.3</v>
      </c>
      <c r="F135" s="60" t="s">
        <v>391</v>
      </c>
    </row>
    <row r="136" customFormat="false" ht="15" hidden="false" customHeight="false" outlineLevel="0" collapsed="false">
      <c r="A136" s="60" t="s">
        <v>1152</v>
      </c>
      <c r="B136" s="60" t="s">
        <v>261</v>
      </c>
      <c r="C136" s="60" t="s">
        <v>345</v>
      </c>
      <c r="D136" s="61" t="n">
        <v>86</v>
      </c>
      <c r="E136" s="62" t="n">
        <v>6.7</v>
      </c>
      <c r="F136" s="60" t="s">
        <v>391</v>
      </c>
    </row>
    <row r="137" customFormat="false" ht="15" hidden="false" customHeight="false" outlineLevel="0" collapsed="false">
      <c r="A137" s="60" t="s">
        <v>1153</v>
      </c>
      <c r="B137" s="60" t="s">
        <v>261</v>
      </c>
      <c r="C137" s="60" t="s">
        <v>345</v>
      </c>
      <c r="D137" s="61" t="n">
        <v>91</v>
      </c>
      <c r="E137" s="62" t="n">
        <v>7.1</v>
      </c>
      <c r="F137" s="60" t="s">
        <v>391</v>
      </c>
    </row>
    <row r="138" customFormat="false" ht="15" hidden="false" customHeight="false" outlineLevel="0" collapsed="false">
      <c r="A138" s="60" t="s">
        <v>1154</v>
      </c>
      <c r="B138" s="60" t="s">
        <v>259</v>
      </c>
      <c r="C138" s="60" t="s">
        <v>345</v>
      </c>
      <c r="D138" s="61" t="n">
        <v>95</v>
      </c>
      <c r="E138" s="62" t="n">
        <v>7.4</v>
      </c>
      <c r="F138" s="60" t="s">
        <v>391</v>
      </c>
    </row>
    <row r="139" customFormat="false" ht="15" hidden="false" customHeight="false" outlineLevel="0" collapsed="false">
      <c r="A139" s="60" t="s">
        <v>1155</v>
      </c>
      <c r="B139" s="60" t="s">
        <v>256</v>
      </c>
      <c r="C139" s="60" t="s">
        <v>342</v>
      </c>
      <c r="D139" s="61" t="n">
        <v>96.2</v>
      </c>
      <c r="E139" s="62" t="n">
        <v>7.5</v>
      </c>
      <c r="F139" s="60" t="s">
        <v>391</v>
      </c>
    </row>
    <row r="140" customFormat="false" ht="15" hidden="false" customHeight="false" outlineLevel="0" collapsed="false">
      <c r="A140" s="60" t="s">
        <v>1156</v>
      </c>
      <c r="B140" s="60" t="s">
        <v>256</v>
      </c>
      <c r="C140" s="60" t="s">
        <v>342</v>
      </c>
      <c r="D140" s="61" t="n">
        <v>101.4</v>
      </c>
      <c r="E140" s="62" t="n">
        <v>7.9</v>
      </c>
      <c r="F140" s="60" t="s">
        <v>391</v>
      </c>
    </row>
    <row r="141" customFormat="false" ht="15" hidden="false" customHeight="false" outlineLevel="0" collapsed="false">
      <c r="A141" s="60" t="s">
        <v>1157</v>
      </c>
      <c r="B141" s="60" t="s">
        <v>260</v>
      </c>
      <c r="C141" s="60" t="s">
        <v>345</v>
      </c>
      <c r="D141" s="61" t="n">
        <v>102</v>
      </c>
      <c r="E141" s="62" t="n">
        <v>8</v>
      </c>
      <c r="F141" s="60" t="s">
        <v>391</v>
      </c>
    </row>
    <row r="142" customFormat="false" ht="15" hidden="false" customHeight="false" outlineLevel="0" collapsed="false">
      <c r="A142" s="60" t="s">
        <v>1158</v>
      </c>
      <c r="B142" s="60" t="s">
        <v>256</v>
      </c>
      <c r="C142" s="60" t="s">
        <v>342</v>
      </c>
      <c r="D142" s="61" t="n">
        <v>104.2</v>
      </c>
      <c r="E142" s="62" t="n">
        <v>8.1</v>
      </c>
      <c r="F142" s="60" t="s">
        <v>391</v>
      </c>
    </row>
    <row r="143" customFormat="false" ht="15" hidden="false" customHeight="false" outlineLevel="0" collapsed="false">
      <c r="A143" s="60" t="s">
        <v>1159</v>
      </c>
      <c r="B143" s="60" t="s">
        <v>256</v>
      </c>
      <c r="C143" s="60" t="s">
        <v>342</v>
      </c>
      <c r="D143" s="61" t="n">
        <v>107</v>
      </c>
      <c r="E143" s="62" t="n">
        <v>8.3</v>
      </c>
      <c r="F143" s="60" t="s">
        <v>391</v>
      </c>
    </row>
    <row r="144" customFormat="false" ht="15" hidden="false" customHeight="false" outlineLevel="0" collapsed="false">
      <c r="A144" s="60" t="s">
        <v>1160</v>
      </c>
      <c r="B144" s="60" t="s">
        <v>261</v>
      </c>
      <c r="C144" s="60" t="s">
        <v>345</v>
      </c>
      <c r="D144" s="61" t="n">
        <v>107</v>
      </c>
      <c r="E144" s="62" t="n">
        <v>8.3</v>
      </c>
      <c r="F144" s="60" t="s">
        <v>391</v>
      </c>
    </row>
    <row r="145" customFormat="false" ht="15" hidden="false" customHeight="false" outlineLevel="0" collapsed="false">
      <c r="A145" s="60" t="s">
        <v>1161</v>
      </c>
      <c r="B145" s="60" t="s">
        <v>258</v>
      </c>
      <c r="C145" s="60" t="s">
        <v>342</v>
      </c>
      <c r="D145" s="61" t="n">
        <v>109.4</v>
      </c>
      <c r="E145" s="62" t="n">
        <v>8.5</v>
      </c>
      <c r="F145" s="60" t="s">
        <v>391</v>
      </c>
    </row>
    <row r="146" customFormat="false" ht="15" hidden="false" customHeight="false" outlineLevel="0" collapsed="false">
      <c r="A146" s="60" t="s">
        <v>1162</v>
      </c>
      <c r="B146" s="60" t="s">
        <v>256</v>
      </c>
      <c r="C146" s="60" t="s">
        <v>342</v>
      </c>
      <c r="D146" s="61" t="n">
        <v>112.4</v>
      </c>
      <c r="E146" s="62" t="n">
        <v>8.8</v>
      </c>
      <c r="F146" s="60" t="s">
        <v>391</v>
      </c>
    </row>
    <row r="147" customFormat="false" ht="15" hidden="false" customHeight="false" outlineLevel="0" collapsed="false">
      <c r="A147" s="60" t="s">
        <v>1163</v>
      </c>
      <c r="B147" s="60" t="s">
        <v>258</v>
      </c>
      <c r="C147" s="60" t="s">
        <v>342</v>
      </c>
      <c r="D147" s="61" t="n">
        <v>118</v>
      </c>
      <c r="E147" s="62" t="n">
        <v>9.2</v>
      </c>
      <c r="F147" s="60" t="s">
        <v>391</v>
      </c>
    </row>
    <row r="148" customFormat="false" ht="15" hidden="false" customHeight="false" outlineLevel="0" collapsed="false">
      <c r="A148" s="60" t="s">
        <v>1164</v>
      </c>
      <c r="B148" s="60" t="s">
        <v>259</v>
      </c>
      <c r="C148" s="60" t="s">
        <v>345</v>
      </c>
      <c r="D148" s="61" t="n">
        <v>118</v>
      </c>
      <c r="E148" s="62" t="n">
        <v>9.2</v>
      </c>
      <c r="F148" s="60" t="s">
        <v>391</v>
      </c>
    </row>
    <row r="149" customFormat="false" ht="15" hidden="false" customHeight="false" outlineLevel="0" collapsed="false">
      <c r="A149" s="60" t="s">
        <v>1165</v>
      </c>
      <c r="B149" s="60" t="s">
        <v>259</v>
      </c>
      <c r="C149" s="60" t="s">
        <v>345</v>
      </c>
      <c r="D149" s="61" t="n">
        <v>122</v>
      </c>
      <c r="E149" s="62" t="n">
        <v>9.5</v>
      </c>
      <c r="F149" s="60" t="s">
        <v>391</v>
      </c>
    </row>
    <row r="150" customFormat="false" ht="15" hidden="false" customHeight="false" outlineLevel="0" collapsed="false">
      <c r="A150" s="60" t="s">
        <v>1166</v>
      </c>
      <c r="B150" s="60" t="s">
        <v>256</v>
      </c>
      <c r="C150" s="60" t="s">
        <v>342</v>
      </c>
      <c r="D150" s="61" t="n">
        <v>122.6</v>
      </c>
      <c r="E150" s="62" t="n">
        <v>9.6</v>
      </c>
      <c r="F150" s="60" t="s">
        <v>391</v>
      </c>
    </row>
    <row r="151" customFormat="false" ht="15" hidden="false" customHeight="false" outlineLevel="0" collapsed="false">
      <c r="A151" s="60" t="s">
        <v>1167</v>
      </c>
      <c r="B151" s="60" t="s">
        <v>260</v>
      </c>
      <c r="C151" s="60" t="s">
        <v>345</v>
      </c>
      <c r="D151" s="61" t="n">
        <v>122.8</v>
      </c>
      <c r="E151" s="62" t="n">
        <v>9.6</v>
      </c>
      <c r="F151" s="60" t="s">
        <v>391</v>
      </c>
    </row>
    <row r="152" customFormat="false" ht="15" hidden="false" customHeight="false" outlineLevel="0" collapsed="false">
      <c r="A152" s="60" t="s">
        <v>1168</v>
      </c>
      <c r="B152" s="60" t="s">
        <v>256</v>
      </c>
      <c r="C152" s="60" t="s">
        <v>342</v>
      </c>
      <c r="D152" s="61" t="n">
        <v>124</v>
      </c>
      <c r="E152" s="62" t="n">
        <v>9.7</v>
      </c>
      <c r="F152" s="60" t="s">
        <v>391</v>
      </c>
    </row>
    <row r="153" customFormat="false" ht="15" hidden="false" customHeight="false" outlineLevel="0" collapsed="false">
      <c r="A153" s="60" t="s">
        <v>1169</v>
      </c>
      <c r="B153" s="60" t="s">
        <v>257</v>
      </c>
      <c r="C153" s="60" t="s">
        <v>342</v>
      </c>
      <c r="D153" s="61" t="n">
        <v>124</v>
      </c>
      <c r="E153" s="62" t="n">
        <v>9.7</v>
      </c>
      <c r="F153" s="60" t="s">
        <v>391</v>
      </c>
    </row>
    <row r="154" customFormat="false" ht="15" hidden="false" customHeight="false" outlineLevel="0" collapsed="false">
      <c r="A154" s="60" t="s">
        <v>1170</v>
      </c>
      <c r="B154" s="60" t="s">
        <v>258</v>
      </c>
      <c r="C154" s="60" t="s">
        <v>342</v>
      </c>
      <c r="D154" s="61" t="n">
        <v>125</v>
      </c>
      <c r="E154" s="62" t="n">
        <v>9.7</v>
      </c>
      <c r="F154" s="60" t="s">
        <v>391</v>
      </c>
    </row>
    <row r="155" customFormat="false" ht="15" hidden="false" customHeight="false" outlineLevel="0" collapsed="false">
      <c r="A155" s="60" t="s">
        <v>1171</v>
      </c>
      <c r="B155" s="60" t="s">
        <v>259</v>
      </c>
      <c r="C155" s="60" t="s">
        <v>345</v>
      </c>
      <c r="D155" s="61" t="n">
        <v>131</v>
      </c>
      <c r="E155" s="62" t="n">
        <v>10.2</v>
      </c>
      <c r="F155" s="60" t="s">
        <v>391</v>
      </c>
    </row>
    <row r="156" customFormat="false" ht="15" hidden="false" customHeight="false" outlineLevel="0" collapsed="false">
      <c r="A156" s="60" t="s">
        <v>1172</v>
      </c>
      <c r="B156" s="60" t="s">
        <v>256</v>
      </c>
      <c r="C156" s="60" t="s">
        <v>342</v>
      </c>
      <c r="D156" s="61" t="n">
        <v>131.8</v>
      </c>
      <c r="E156" s="62" t="n">
        <v>10.3</v>
      </c>
      <c r="F156" s="60" t="s">
        <v>391</v>
      </c>
    </row>
    <row r="157" customFormat="false" ht="15" hidden="false" customHeight="false" outlineLevel="0" collapsed="false">
      <c r="A157" s="60" t="s">
        <v>1173</v>
      </c>
      <c r="B157" s="60" t="s">
        <v>256</v>
      </c>
      <c r="C157" s="60" t="s">
        <v>342</v>
      </c>
      <c r="D157" s="61" t="n">
        <v>132</v>
      </c>
      <c r="E157" s="62" t="n">
        <v>10.3</v>
      </c>
      <c r="F157" s="60" t="s">
        <v>391</v>
      </c>
    </row>
    <row r="158" customFormat="false" ht="15" hidden="false" customHeight="false" outlineLevel="0" collapsed="false">
      <c r="A158" s="60" t="s">
        <v>1174</v>
      </c>
      <c r="B158" s="60" t="s">
        <v>256</v>
      </c>
      <c r="C158" s="60" t="s">
        <v>342</v>
      </c>
      <c r="D158" s="61" t="n">
        <v>132.6</v>
      </c>
      <c r="E158" s="62" t="n">
        <v>10.3</v>
      </c>
      <c r="F158" s="60" t="s">
        <v>391</v>
      </c>
    </row>
    <row r="159" customFormat="false" ht="15" hidden="false" customHeight="false" outlineLevel="0" collapsed="false">
      <c r="A159" s="60" t="s">
        <v>1175</v>
      </c>
      <c r="B159" s="60" t="s">
        <v>262</v>
      </c>
      <c r="C159" s="60" t="s">
        <v>345</v>
      </c>
      <c r="D159" s="61" t="n">
        <v>134.4</v>
      </c>
      <c r="E159" s="62" t="n">
        <v>10.5</v>
      </c>
      <c r="F159" s="60" t="s">
        <v>391</v>
      </c>
    </row>
    <row r="160" customFormat="false" ht="15" hidden="false" customHeight="false" outlineLevel="0" collapsed="false">
      <c r="A160" s="60" t="s">
        <v>1176</v>
      </c>
      <c r="B160" s="60" t="s">
        <v>256</v>
      </c>
      <c r="C160" s="60" t="s">
        <v>342</v>
      </c>
      <c r="D160" s="61" t="n">
        <v>135</v>
      </c>
      <c r="E160" s="62" t="n">
        <v>10.5</v>
      </c>
      <c r="F160" s="60" t="s">
        <v>391</v>
      </c>
    </row>
    <row r="161" customFormat="false" ht="15" hidden="false" customHeight="false" outlineLevel="0" collapsed="false">
      <c r="A161" s="60" t="s">
        <v>1177</v>
      </c>
      <c r="B161" s="60" t="s">
        <v>259</v>
      </c>
      <c r="C161" s="60" t="s">
        <v>345</v>
      </c>
      <c r="D161" s="61" t="n">
        <v>135</v>
      </c>
      <c r="E161" s="62" t="n">
        <v>10.5</v>
      </c>
      <c r="F161" s="60" t="s">
        <v>391</v>
      </c>
    </row>
    <row r="162" customFormat="false" ht="15" hidden="false" customHeight="false" outlineLevel="0" collapsed="false">
      <c r="A162" s="60" t="s">
        <v>1178</v>
      </c>
      <c r="B162" s="60" t="s">
        <v>258</v>
      </c>
      <c r="C162" s="60" t="s">
        <v>342</v>
      </c>
      <c r="D162" s="61" t="n">
        <v>135.4</v>
      </c>
      <c r="E162" s="62" t="n">
        <v>10.6</v>
      </c>
      <c r="F162" s="60" t="s">
        <v>391</v>
      </c>
    </row>
    <row r="163" customFormat="false" ht="15" hidden="false" customHeight="false" outlineLevel="0" collapsed="false">
      <c r="A163" s="60" t="s">
        <v>1179</v>
      </c>
      <c r="B163" s="60" t="s">
        <v>258</v>
      </c>
      <c r="C163" s="60" t="s">
        <v>342</v>
      </c>
      <c r="D163" s="61" t="n">
        <v>135.4</v>
      </c>
      <c r="E163" s="62" t="n">
        <v>10.6</v>
      </c>
      <c r="F163" s="60" t="s">
        <v>391</v>
      </c>
    </row>
    <row r="164" customFormat="false" ht="15" hidden="false" customHeight="false" outlineLevel="0" collapsed="false">
      <c r="A164" s="60" t="s">
        <v>1180</v>
      </c>
      <c r="B164" s="60" t="s">
        <v>256</v>
      </c>
      <c r="C164" s="60" t="s">
        <v>342</v>
      </c>
      <c r="D164" s="61" t="n">
        <v>139.2</v>
      </c>
      <c r="E164" s="62" t="n">
        <v>10.9</v>
      </c>
      <c r="F164" s="60" t="s">
        <v>391</v>
      </c>
    </row>
    <row r="165" customFormat="false" ht="15" hidden="false" customHeight="false" outlineLevel="0" collapsed="false">
      <c r="A165" s="60" t="s">
        <v>1181</v>
      </c>
      <c r="B165" s="60" t="s">
        <v>259</v>
      </c>
      <c r="C165" s="60" t="s">
        <v>345</v>
      </c>
      <c r="D165" s="61" t="n">
        <v>142</v>
      </c>
      <c r="E165" s="62" t="n">
        <v>11.1</v>
      </c>
      <c r="F165" s="60" t="s">
        <v>391</v>
      </c>
    </row>
    <row r="166" customFormat="false" ht="15" hidden="false" customHeight="false" outlineLevel="0" collapsed="false">
      <c r="A166" s="60" t="s">
        <v>1182</v>
      </c>
      <c r="B166" s="60" t="s">
        <v>256</v>
      </c>
      <c r="C166" s="60" t="s">
        <v>342</v>
      </c>
      <c r="D166" s="61" t="n">
        <v>142.6</v>
      </c>
      <c r="E166" s="62" t="n">
        <v>11.1</v>
      </c>
      <c r="F166" s="60" t="s">
        <v>391</v>
      </c>
    </row>
    <row r="167" customFormat="false" ht="15" hidden="false" customHeight="false" outlineLevel="0" collapsed="false">
      <c r="A167" s="60" t="s">
        <v>1183</v>
      </c>
      <c r="B167" s="60" t="s">
        <v>257</v>
      </c>
      <c r="C167" s="60" t="s">
        <v>342</v>
      </c>
      <c r="D167" s="61" t="n">
        <v>145</v>
      </c>
      <c r="E167" s="62" t="n">
        <v>11.3</v>
      </c>
      <c r="F167" s="60" t="s">
        <v>391</v>
      </c>
    </row>
    <row r="168" customFormat="false" ht="15" hidden="false" customHeight="false" outlineLevel="0" collapsed="false">
      <c r="A168" s="60" t="s">
        <v>1184</v>
      </c>
      <c r="B168" s="60" t="s">
        <v>256</v>
      </c>
      <c r="C168" s="60" t="s">
        <v>342</v>
      </c>
      <c r="D168" s="61" t="n">
        <v>147.4</v>
      </c>
      <c r="E168" s="62" t="n">
        <v>11.5</v>
      </c>
      <c r="F168" s="60" t="s">
        <v>391</v>
      </c>
    </row>
    <row r="169" customFormat="false" ht="15" hidden="false" customHeight="false" outlineLevel="0" collapsed="false">
      <c r="A169" s="60" t="s">
        <v>1185</v>
      </c>
      <c r="B169" s="60" t="s">
        <v>257</v>
      </c>
      <c r="C169" s="60" t="s">
        <v>342</v>
      </c>
      <c r="D169" s="61" t="n">
        <v>148.8</v>
      </c>
      <c r="E169" s="62" t="n">
        <v>11.6</v>
      </c>
      <c r="F169" s="60" t="s">
        <v>391</v>
      </c>
    </row>
    <row r="170" customFormat="false" ht="15" hidden="false" customHeight="false" outlineLevel="0" collapsed="false">
      <c r="A170" s="60" t="s">
        <v>1186</v>
      </c>
      <c r="B170" s="60" t="s">
        <v>255</v>
      </c>
      <c r="C170" s="60" t="s">
        <v>345</v>
      </c>
      <c r="D170" s="61" t="n">
        <v>152.4</v>
      </c>
      <c r="E170" s="62" t="n">
        <v>11.9</v>
      </c>
      <c r="F170" s="60" t="s">
        <v>391</v>
      </c>
    </row>
    <row r="171" customFormat="false" ht="15" hidden="false" customHeight="false" outlineLevel="0" collapsed="false">
      <c r="A171" s="60" t="s">
        <v>1187</v>
      </c>
      <c r="B171" s="60" t="s">
        <v>261</v>
      </c>
      <c r="C171" s="60" t="s">
        <v>345</v>
      </c>
      <c r="D171" s="61" t="n">
        <v>153</v>
      </c>
      <c r="E171" s="62" t="n">
        <v>11.9</v>
      </c>
      <c r="F171" s="60" t="s">
        <v>391</v>
      </c>
    </row>
    <row r="172" customFormat="false" ht="15" hidden="false" customHeight="false" outlineLevel="0" collapsed="false">
      <c r="A172" s="60" t="s">
        <v>1188</v>
      </c>
      <c r="B172" s="60" t="s">
        <v>258</v>
      </c>
      <c r="C172" s="60" t="s">
        <v>345</v>
      </c>
      <c r="D172" s="61" t="n">
        <v>154</v>
      </c>
      <c r="E172" s="62" t="n">
        <v>12</v>
      </c>
      <c r="F172" s="60" t="s">
        <v>391</v>
      </c>
    </row>
    <row r="173" customFormat="false" ht="15" hidden="false" customHeight="false" outlineLevel="0" collapsed="false">
      <c r="A173" s="60" t="s">
        <v>1189</v>
      </c>
      <c r="B173" s="60" t="s">
        <v>262</v>
      </c>
      <c r="C173" s="60" t="s">
        <v>345</v>
      </c>
      <c r="D173" s="61" t="n">
        <v>160.5</v>
      </c>
      <c r="E173" s="62" t="n">
        <v>12.5</v>
      </c>
      <c r="F173" s="60" t="s">
        <v>391</v>
      </c>
    </row>
    <row r="174" customFormat="false" ht="15" hidden="false" customHeight="false" outlineLevel="0" collapsed="false">
      <c r="A174" s="60" t="s">
        <v>1190</v>
      </c>
      <c r="B174" s="60" t="s">
        <v>256</v>
      </c>
      <c r="C174" s="60" t="s">
        <v>342</v>
      </c>
      <c r="D174" s="61" t="n">
        <v>161.2</v>
      </c>
      <c r="E174" s="62" t="n">
        <v>12.6</v>
      </c>
      <c r="F174" s="60" t="s">
        <v>391</v>
      </c>
    </row>
    <row r="175" customFormat="false" ht="15" hidden="false" customHeight="false" outlineLevel="0" collapsed="false">
      <c r="A175" s="60" t="s">
        <v>1191</v>
      </c>
      <c r="B175" s="60" t="s">
        <v>257</v>
      </c>
      <c r="C175" s="60" t="s">
        <v>342</v>
      </c>
      <c r="D175" s="61" t="n">
        <v>162.8</v>
      </c>
      <c r="E175" s="62" t="n">
        <v>12.7</v>
      </c>
      <c r="F175" s="60" t="s">
        <v>391</v>
      </c>
    </row>
    <row r="176" customFormat="false" ht="15" hidden="false" customHeight="false" outlineLevel="0" collapsed="false">
      <c r="A176" s="60" t="s">
        <v>1192</v>
      </c>
      <c r="B176" s="60" t="s">
        <v>261</v>
      </c>
      <c r="C176" s="60" t="s">
        <v>345</v>
      </c>
      <c r="D176" s="61" t="n">
        <v>169</v>
      </c>
      <c r="E176" s="62" t="n">
        <v>13.2</v>
      </c>
      <c r="F176" s="60" t="s">
        <v>391</v>
      </c>
    </row>
    <row r="177" customFormat="false" ht="15" hidden="false" customHeight="false" outlineLevel="0" collapsed="false">
      <c r="A177" s="60" t="s">
        <v>1193</v>
      </c>
      <c r="B177" s="60" t="s">
        <v>259</v>
      </c>
      <c r="C177" s="60" t="s">
        <v>345</v>
      </c>
      <c r="D177" s="61" t="n">
        <v>171</v>
      </c>
      <c r="E177" s="62" t="n">
        <v>13.3</v>
      </c>
      <c r="F177" s="60" t="s">
        <v>391</v>
      </c>
    </row>
    <row r="178" customFormat="false" ht="15" hidden="false" customHeight="false" outlineLevel="0" collapsed="false">
      <c r="A178" s="60" t="s">
        <v>1194</v>
      </c>
      <c r="B178" s="60" t="s">
        <v>260</v>
      </c>
      <c r="C178" s="60" t="s">
        <v>345</v>
      </c>
      <c r="D178" s="61" t="n">
        <v>174</v>
      </c>
      <c r="E178" s="62" t="n">
        <v>13.6</v>
      </c>
      <c r="F178" s="60" t="s">
        <v>391</v>
      </c>
    </row>
    <row r="179" customFormat="false" ht="15" hidden="false" customHeight="false" outlineLevel="0" collapsed="false">
      <c r="A179" s="60" t="s">
        <v>1195</v>
      </c>
      <c r="B179" s="60" t="s">
        <v>255</v>
      </c>
      <c r="C179" s="60" t="s">
        <v>345</v>
      </c>
      <c r="D179" s="61" t="n">
        <v>175.8</v>
      </c>
      <c r="E179" s="62" t="n">
        <v>13.7</v>
      </c>
      <c r="F179" s="60" t="s">
        <v>391</v>
      </c>
    </row>
    <row r="180" customFormat="false" ht="15" hidden="false" customHeight="false" outlineLevel="0" collapsed="false">
      <c r="A180" s="60" t="s">
        <v>1196</v>
      </c>
      <c r="B180" s="60" t="s">
        <v>255</v>
      </c>
      <c r="C180" s="60" t="s">
        <v>345</v>
      </c>
      <c r="D180" s="61" t="n">
        <v>177.6</v>
      </c>
      <c r="E180" s="62" t="n">
        <v>13.9</v>
      </c>
      <c r="F180" s="60" t="s">
        <v>391</v>
      </c>
    </row>
    <row r="181" customFormat="false" ht="15" hidden="false" customHeight="false" outlineLevel="0" collapsed="false">
      <c r="A181" s="60" t="s">
        <v>1197</v>
      </c>
      <c r="B181" s="60" t="s">
        <v>259</v>
      </c>
      <c r="C181" s="60" t="s">
        <v>345</v>
      </c>
      <c r="D181" s="61" t="n">
        <v>179</v>
      </c>
      <c r="E181" s="62" t="n">
        <v>14</v>
      </c>
      <c r="F181" s="60" t="s">
        <v>391</v>
      </c>
    </row>
    <row r="182" customFormat="false" ht="15" hidden="false" customHeight="false" outlineLevel="0" collapsed="false">
      <c r="A182" s="60" t="s">
        <v>1198</v>
      </c>
      <c r="B182" s="60" t="s">
        <v>257</v>
      </c>
      <c r="C182" s="60" t="s">
        <v>342</v>
      </c>
      <c r="D182" s="61" t="n">
        <v>179.4</v>
      </c>
      <c r="E182" s="62" t="n">
        <v>14</v>
      </c>
      <c r="F182" s="60" t="s">
        <v>391</v>
      </c>
    </row>
    <row r="183" customFormat="false" ht="15" hidden="false" customHeight="false" outlineLevel="0" collapsed="false">
      <c r="A183" s="60" t="s">
        <v>1199</v>
      </c>
      <c r="B183" s="60" t="s">
        <v>255</v>
      </c>
      <c r="C183" s="60" t="s">
        <v>345</v>
      </c>
      <c r="D183" s="61" t="n">
        <v>180.8</v>
      </c>
      <c r="E183" s="62" t="n">
        <v>14.1</v>
      </c>
      <c r="F183" s="60" t="s">
        <v>391</v>
      </c>
    </row>
    <row r="184" customFormat="false" ht="15" hidden="false" customHeight="false" outlineLevel="0" collapsed="false">
      <c r="A184" s="60" t="s">
        <v>1200</v>
      </c>
      <c r="B184" s="60" t="s">
        <v>258</v>
      </c>
      <c r="C184" s="60" t="s">
        <v>342</v>
      </c>
      <c r="D184" s="61" t="n">
        <v>182.8</v>
      </c>
      <c r="E184" s="62" t="n">
        <v>14.3</v>
      </c>
      <c r="F184" s="60" t="s">
        <v>391</v>
      </c>
    </row>
    <row r="185" customFormat="false" ht="15" hidden="false" customHeight="false" outlineLevel="0" collapsed="false">
      <c r="A185" s="60" t="s">
        <v>1201</v>
      </c>
      <c r="B185" s="60" t="s">
        <v>254</v>
      </c>
      <c r="C185" s="60" t="s">
        <v>342</v>
      </c>
      <c r="D185" s="61" t="n">
        <v>191.2</v>
      </c>
      <c r="E185" s="62" t="n">
        <v>14.9</v>
      </c>
      <c r="F185" s="60" t="s">
        <v>391</v>
      </c>
    </row>
    <row r="186" customFormat="false" ht="15" hidden="false" customHeight="false" outlineLevel="0" collapsed="false">
      <c r="A186" s="60" t="s">
        <v>1202</v>
      </c>
      <c r="B186" s="60" t="s">
        <v>255</v>
      </c>
      <c r="C186" s="60" t="s">
        <v>345</v>
      </c>
      <c r="D186" s="61" t="n">
        <v>195.6</v>
      </c>
      <c r="E186" s="62" t="n">
        <v>15.3</v>
      </c>
      <c r="F186" s="60" t="s">
        <v>391</v>
      </c>
    </row>
    <row r="187" customFormat="false" ht="15" hidden="false" customHeight="false" outlineLevel="0" collapsed="false">
      <c r="A187" s="60" t="s">
        <v>1203</v>
      </c>
      <c r="B187" s="60" t="s">
        <v>257</v>
      </c>
      <c r="C187" s="60" t="s">
        <v>342</v>
      </c>
      <c r="D187" s="61" t="n">
        <v>195.8</v>
      </c>
      <c r="E187" s="62" t="n">
        <v>15.3</v>
      </c>
      <c r="F187" s="60" t="s">
        <v>391</v>
      </c>
    </row>
    <row r="188" customFormat="false" ht="15" hidden="false" customHeight="false" outlineLevel="0" collapsed="false">
      <c r="A188" s="60" t="s">
        <v>1204</v>
      </c>
      <c r="B188" s="60" t="s">
        <v>257</v>
      </c>
      <c r="C188" s="60" t="s">
        <v>342</v>
      </c>
      <c r="D188" s="61" t="n">
        <v>198.2</v>
      </c>
      <c r="E188" s="62" t="n">
        <v>15.5</v>
      </c>
      <c r="F188" s="60" t="s">
        <v>391</v>
      </c>
    </row>
    <row r="189" customFormat="false" ht="15" hidden="false" customHeight="false" outlineLevel="0" collapsed="false">
      <c r="A189" s="60" t="s">
        <v>1205</v>
      </c>
      <c r="B189" s="60" t="s">
        <v>254</v>
      </c>
      <c r="C189" s="60" t="s">
        <v>342</v>
      </c>
      <c r="D189" s="61" t="n">
        <v>200.8</v>
      </c>
      <c r="E189" s="62" t="n">
        <v>15.7</v>
      </c>
      <c r="F189" s="60" t="s">
        <v>391</v>
      </c>
    </row>
    <row r="190" customFormat="false" ht="15" hidden="false" customHeight="false" outlineLevel="0" collapsed="false">
      <c r="A190" s="60" t="s">
        <v>1206</v>
      </c>
      <c r="B190" s="60" t="s">
        <v>257</v>
      </c>
      <c r="C190" s="60" t="s">
        <v>342</v>
      </c>
      <c r="D190" s="61" t="n">
        <v>204</v>
      </c>
      <c r="E190" s="62" t="n">
        <v>15.9</v>
      </c>
      <c r="F190" s="60" t="s">
        <v>391</v>
      </c>
    </row>
    <row r="191" customFormat="false" ht="15" hidden="false" customHeight="false" outlineLevel="0" collapsed="false">
      <c r="A191" s="60" t="s">
        <v>1207</v>
      </c>
      <c r="B191" s="60" t="s">
        <v>253</v>
      </c>
      <c r="C191" s="60" t="s">
        <v>342</v>
      </c>
      <c r="D191" s="61" t="n">
        <v>212.6</v>
      </c>
      <c r="E191" s="62" t="n">
        <v>16.6</v>
      </c>
      <c r="F191" s="60" t="s">
        <v>391</v>
      </c>
    </row>
    <row r="192" customFormat="false" ht="15" hidden="false" customHeight="false" outlineLevel="0" collapsed="false">
      <c r="A192" s="60" t="s">
        <v>1208</v>
      </c>
      <c r="B192" s="60" t="s">
        <v>258</v>
      </c>
      <c r="C192" s="60" t="s">
        <v>345</v>
      </c>
      <c r="D192" s="61" t="n">
        <v>214.4</v>
      </c>
      <c r="E192" s="62" t="n">
        <v>16.7</v>
      </c>
      <c r="F192" s="60" t="s">
        <v>391</v>
      </c>
    </row>
    <row r="193" customFormat="false" ht="15" hidden="false" customHeight="false" outlineLevel="0" collapsed="false">
      <c r="A193" s="60" t="s">
        <v>1209</v>
      </c>
      <c r="B193" s="60" t="s">
        <v>255</v>
      </c>
      <c r="C193" s="60" t="s">
        <v>345</v>
      </c>
      <c r="D193" s="61" t="n">
        <v>214.8</v>
      </c>
      <c r="E193" s="62" t="n">
        <v>16.8</v>
      </c>
      <c r="F193" s="60" t="s">
        <v>391</v>
      </c>
    </row>
    <row r="194" customFormat="false" ht="15" hidden="false" customHeight="false" outlineLevel="0" collapsed="false">
      <c r="A194" s="60" t="s">
        <v>1210</v>
      </c>
      <c r="B194" s="60" t="s">
        <v>255</v>
      </c>
      <c r="C194" s="60" t="s">
        <v>345</v>
      </c>
      <c r="D194" s="61" t="n">
        <v>216.4</v>
      </c>
      <c r="E194" s="62" t="n">
        <v>16.9</v>
      </c>
      <c r="F194" s="60" t="s">
        <v>391</v>
      </c>
    </row>
    <row r="195" customFormat="false" ht="15" hidden="false" customHeight="false" outlineLevel="0" collapsed="false">
      <c r="A195" s="60" t="s">
        <v>1211</v>
      </c>
      <c r="B195" s="60" t="s">
        <v>255</v>
      </c>
      <c r="C195" s="60" t="s">
        <v>345</v>
      </c>
      <c r="D195" s="61" t="n">
        <v>217.6</v>
      </c>
      <c r="E195" s="62" t="n">
        <v>17</v>
      </c>
      <c r="F195" s="60" t="s">
        <v>391</v>
      </c>
    </row>
    <row r="196" customFormat="false" ht="15" hidden="false" customHeight="false" outlineLevel="0" collapsed="false">
      <c r="A196" s="60" t="s">
        <v>1212</v>
      </c>
      <c r="B196" s="60" t="s">
        <v>255</v>
      </c>
      <c r="C196" s="60" t="s">
        <v>345</v>
      </c>
      <c r="D196" s="61" t="n">
        <v>225.6</v>
      </c>
      <c r="E196" s="62" t="n">
        <v>17.6</v>
      </c>
      <c r="F196" s="60" t="s">
        <v>391</v>
      </c>
    </row>
    <row r="197" customFormat="false" ht="15" hidden="false" customHeight="false" outlineLevel="0" collapsed="false">
      <c r="A197" s="60" t="s">
        <v>1213</v>
      </c>
      <c r="B197" s="60" t="s">
        <v>254</v>
      </c>
      <c r="C197" s="60" t="s">
        <v>342</v>
      </c>
      <c r="D197" s="61" t="n">
        <v>232.8</v>
      </c>
      <c r="E197" s="62" t="n">
        <v>18.2</v>
      </c>
      <c r="F197" s="60" t="s">
        <v>391</v>
      </c>
    </row>
    <row r="198" customFormat="false" ht="15" hidden="false" customHeight="false" outlineLevel="0" collapsed="false">
      <c r="A198" s="60" t="s">
        <v>1214</v>
      </c>
      <c r="B198" s="60" t="s">
        <v>255</v>
      </c>
      <c r="C198" s="60" t="s">
        <v>345</v>
      </c>
      <c r="D198" s="61" t="n">
        <v>240</v>
      </c>
      <c r="E198" s="62" t="n">
        <v>18.7</v>
      </c>
      <c r="F198" s="60" t="s">
        <v>391</v>
      </c>
    </row>
    <row r="199" customFormat="false" ht="15" hidden="false" customHeight="false" outlineLevel="0" collapsed="false">
      <c r="A199" s="60" t="s">
        <v>1215</v>
      </c>
      <c r="B199" s="60" t="s">
        <v>253</v>
      </c>
      <c r="C199" s="60" t="s">
        <v>342</v>
      </c>
      <c r="D199" s="61" t="n">
        <v>250.8</v>
      </c>
      <c r="E199" s="62" t="n">
        <v>19.6</v>
      </c>
      <c r="F199" s="60" t="s">
        <v>391</v>
      </c>
    </row>
    <row r="200" customFormat="false" ht="15" hidden="false" customHeight="false" outlineLevel="0" collapsed="false">
      <c r="A200" s="60" t="s">
        <v>1216</v>
      </c>
      <c r="B200" s="60" t="s">
        <v>254</v>
      </c>
      <c r="C200" s="60" t="s">
        <v>342</v>
      </c>
      <c r="D200" s="61" t="n">
        <v>255</v>
      </c>
      <c r="E200" s="62" t="n">
        <v>19.9</v>
      </c>
      <c r="F200" s="60" t="s">
        <v>391</v>
      </c>
    </row>
    <row r="201" customFormat="false" ht="15" hidden="false" customHeight="false" outlineLevel="0" collapsed="false">
      <c r="A201" s="60" t="s">
        <v>1217</v>
      </c>
      <c r="B201" s="60" t="s">
        <v>254</v>
      </c>
      <c r="C201" s="60" t="s">
        <v>342</v>
      </c>
      <c r="D201" s="61" t="n">
        <v>256.4</v>
      </c>
      <c r="E201" s="62" t="n">
        <v>20</v>
      </c>
      <c r="F201" s="60" t="s">
        <v>391</v>
      </c>
    </row>
    <row r="202" customFormat="false" ht="15" hidden="false" customHeight="false" outlineLevel="0" collapsed="false">
      <c r="A202" s="60" t="s">
        <v>1218</v>
      </c>
      <c r="B202" s="60" t="s">
        <v>252</v>
      </c>
      <c r="C202" s="60" t="s">
        <v>345</v>
      </c>
      <c r="D202" s="61" t="n">
        <v>260.8</v>
      </c>
      <c r="E202" s="62" t="n">
        <v>20.3</v>
      </c>
      <c r="F202" s="60" t="s">
        <v>391</v>
      </c>
    </row>
    <row r="203" customFormat="false" ht="15" hidden="false" customHeight="false" outlineLevel="0" collapsed="false">
      <c r="A203" s="60" t="s">
        <v>1219</v>
      </c>
      <c r="B203" s="60" t="s">
        <v>253</v>
      </c>
      <c r="C203" s="60" t="s">
        <v>342</v>
      </c>
      <c r="D203" s="61" t="n">
        <v>263.6</v>
      </c>
      <c r="E203" s="62" t="n">
        <v>20.6</v>
      </c>
      <c r="F203" s="60" t="s">
        <v>391</v>
      </c>
    </row>
    <row r="204" customFormat="false" ht="15" hidden="false" customHeight="false" outlineLevel="0" collapsed="false">
      <c r="A204" s="60" t="s">
        <v>1220</v>
      </c>
      <c r="B204" s="60" t="s">
        <v>253</v>
      </c>
      <c r="C204" s="60" t="s">
        <v>342</v>
      </c>
      <c r="D204" s="61" t="n">
        <v>270.2</v>
      </c>
      <c r="E204" s="62" t="n">
        <v>21.1</v>
      </c>
      <c r="F204" s="60" t="s">
        <v>391</v>
      </c>
    </row>
    <row r="205" customFormat="false" ht="15" hidden="false" customHeight="false" outlineLevel="0" collapsed="false">
      <c r="A205" s="60" t="s">
        <v>1221</v>
      </c>
      <c r="B205" s="60" t="s">
        <v>254</v>
      </c>
      <c r="C205" s="60" t="s">
        <v>342</v>
      </c>
      <c r="D205" s="61" t="n">
        <v>280.2</v>
      </c>
      <c r="E205" s="62" t="n">
        <v>21.9</v>
      </c>
      <c r="F205" s="60" t="s">
        <v>391</v>
      </c>
    </row>
    <row r="206" customFormat="false" ht="15" hidden="false" customHeight="false" outlineLevel="0" collapsed="false">
      <c r="A206" s="60" t="s">
        <v>1222</v>
      </c>
      <c r="B206" s="60" t="s">
        <v>253</v>
      </c>
      <c r="C206" s="60" t="s">
        <v>345</v>
      </c>
      <c r="D206" s="61" t="n">
        <v>286.4</v>
      </c>
      <c r="E206" s="62" t="n">
        <v>22.3</v>
      </c>
      <c r="F206" s="60" t="s">
        <v>391</v>
      </c>
    </row>
    <row r="207" customFormat="false" ht="15" hidden="false" customHeight="false" outlineLevel="0" collapsed="false">
      <c r="A207" s="60" t="s">
        <v>1223</v>
      </c>
      <c r="B207" s="60" t="s">
        <v>254</v>
      </c>
      <c r="C207" s="60" t="s">
        <v>342</v>
      </c>
      <c r="D207" s="61" t="n">
        <v>292</v>
      </c>
      <c r="E207" s="62" t="n">
        <v>22.8</v>
      </c>
      <c r="F207" s="60" t="s">
        <v>391</v>
      </c>
    </row>
    <row r="208" customFormat="false" ht="15" hidden="false" customHeight="false" outlineLevel="0" collapsed="false">
      <c r="A208" s="60" t="s">
        <v>1224</v>
      </c>
      <c r="B208" s="60" t="s">
        <v>252</v>
      </c>
      <c r="C208" s="60" t="s">
        <v>342</v>
      </c>
      <c r="D208" s="61" t="n">
        <v>298</v>
      </c>
      <c r="E208" s="62" t="n">
        <v>23.2</v>
      </c>
      <c r="F208" s="60" t="s">
        <v>391</v>
      </c>
    </row>
    <row r="209" customFormat="false" ht="15" hidden="false" customHeight="false" outlineLevel="0" collapsed="false">
      <c r="A209" s="60" t="s">
        <v>1225</v>
      </c>
      <c r="B209" s="60" t="s">
        <v>254</v>
      </c>
      <c r="C209" s="60" t="s">
        <v>342</v>
      </c>
      <c r="D209" s="61" t="n">
        <v>299</v>
      </c>
      <c r="E209" s="62" t="n">
        <v>23.3</v>
      </c>
      <c r="F209" s="60" t="s">
        <v>391</v>
      </c>
    </row>
    <row r="210" customFormat="false" ht="15" hidden="false" customHeight="false" outlineLevel="0" collapsed="false">
      <c r="A210" s="60" t="s">
        <v>1226</v>
      </c>
      <c r="B210" s="60" t="s">
        <v>253</v>
      </c>
      <c r="C210" s="60" t="s">
        <v>342</v>
      </c>
      <c r="D210" s="61" t="n">
        <v>299.6</v>
      </c>
      <c r="E210" s="62" t="n">
        <v>23.4</v>
      </c>
      <c r="F210" s="60" t="s">
        <v>391</v>
      </c>
    </row>
    <row r="211" customFormat="false" ht="15" hidden="false" customHeight="false" outlineLevel="0" collapsed="false">
      <c r="A211" s="60" t="s">
        <v>1227</v>
      </c>
      <c r="B211" s="60" t="s">
        <v>253</v>
      </c>
      <c r="C211" s="60" t="s">
        <v>342</v>
      </c>
      <c r="D211" s="61" t="n">
        <v>302.2</v>
      </c>
      <c r="E211" s="62" t="n">
        <v>23.6</v>
      </c>
      <c r="F211" s="60" t="s">
        <v>391</v>
      </c>
    </row>
    <row r="212" customFormat="false" ht="15" hidden="false" customHeight="false" outlineLevel="0" collapsed="false">
      <c r="A212" s="60" t="s">
        <v>1228</v>
      </c>
      <c r="B212" s="60" t="s">
        <v>253</v>
      </c>
      <c r="C212" s="60" t="s">
        <v>342</v>
      </c>
      <c r="D212" s="61" t="n">
        <v>305.6</v>
      </c>
      <c r="E212" s="62" t="n">
        <v>23.8</v>
      </c>
      <c r="F212" s="60" t="s">
        <v>391</v>
      </c>
    </row>
    <row r="213" customFormat="false" ht="15" hidden="false" customHeight="false" outlineLevel="0" collapsed="false">
      <c r="A213" s="60" t="s">
        <v>1229</v>
      </c>
      <c r="B213" s="60" t="s">
        <v>254</v>
      </c>
      <c r="C213" s="60" t="s">
        <v>342</v>
      </c>
      <c r="D213" s="61" t="n">
        <v>306</v>
      </c>
      <c r="E213" s="62" t="n">
        <v>23.9</v>
      </c>
      <c r="F213" s="60" t="s">
        <v>391</v>
      </c>
    </row>
    <row r="214" customFormat="false" ht="15" hidden="false" customHeight="false" outlineLevel="0" collapsed="false">
      <c r="A214" s="60" t="s">
        <v>1230</v>
      </c>
      <c r="B214" s="60" t="s">
        <v>253</v>
      </c>
      <c r="C214" s="60" t="s">
        <v>342</v>
      </c>
      <c r="D214" s="61" t="n">
        <v>313.6</v>
      </c>
      <c r="E214" s="62" t="n">
        <v>24.5</v>
      </c>
      <c r="F214" s="60" t="s">
        <v>391</v>
      </c>
    </row>
    <row r="215" customFormat="false" ht="15" hidden="false" customHeight="false" outlineLevel="0" collapsed="false">
      <c r="A215" s="60" t="s">
        <v>1231</v>
      </c>
      <c r="B215" s="60" t="s">
        <v>251</v>
      </c>
      <c r="C215" s="60" t="s">
        <v>342</v>
      </c>
      <c r="D215" s="61" t="n">
        <v>316</v>
      </c>
      <c r="E215" s="62" t="n">
        <v>24.6</v>
      </c>
      <c r="F215" s="60" t="s">
        <v>391</v>
      </c>
    </row>
    <row r="216" customFormat="false" ht="15" hidden="false" customHeight="false" outlineLevel="0" collapsed="false">
      <c r="A216" s="60" t="s">
        <v>1232</v>
      </c>
      <c r="B216" s="60" t="s">
        <v>251</v>
      </c>
      <c r="C216" s="60" t="s">
        <v>342</v>
      </c>
      <c r="D216" s="61" t="n">
        <v>317.8</v>
      </c>
      <c r="E216" s="62" t="n">
        <v>24.8</v>
      </c>
      <c r="F216" s="60" t="s">
        <v>391</v>
      </c>
    </row>
    <row r="217" customFormat="false" ht="15" hidden="false" customHeight="false" outlineLevel="0" collapsed="false">
      <c r="A217" s="71" t="s">
        <v>1233</v>
      </c>
      <c r="B217" s="71" t="s">
        <v>253</v>
      </c>
      <c r="C217" s="71" t="s">
        <v>345</v>
      </c>
      <c r="D217" s="72" t="n">
        <v>320.8</v>
      </c>
      <c r="E217" s="73" t="n">
        <v>25</v>
      </c>
      <c r="F217" s="71" t="s">
        <v>470</v>
      </c>
    </row>
    <row r="218" customFormat="false" ht="15" hidden="false" customHeight="false" outlineLevel="0" collapsed="false">
      <c r="A218" s="71" t="s">
        <v>1234</v>
      </c>
      <c r="B218" s="71" t="s">
        <v>254</v>
      </c>
      <c r="C218" s="71" t="s">
        <v>342</v>
      </c>
      <c r="D218" s="72" t="n">
        <v>321.4</v>
      </c>
      <c r="E218" s="73" t="n">
        <v>25.1</v>
      </c>
      <c r="F218" s="71" t="s">
        <v>470</v>
      </c>
    </row>
    <row r="219" customFormat="false" ht="15" hidden="false" customHeight="false" outlineLevel="0" collapsed="false">
      <c r="A219" s="71" t="s">
        <v>1235</v>
      </c>
      <c r="B219" s="71" t="s">
        <v>254</v>
      </c>
      <c r="C219" s="71" t="s">
        <v>342</v>
      </c>
      <c r="D219" s="72" t="n">
        <v>325.6</v>
      </c>
      <c r="E219" s="73" t="n">
        <v>25.4</v>
      </c>
      <c r="F219" s="71" t="s">
        <v>470</v>
      </c>
    </row>
    <row r="220" customFormat="false" ht="15" hidden="false" customHeight="false" outlineLevel="0" collapsed="false">
      <c r="A220" s="71" t="s">
        <v>1236</v>
      </c>
      <c r="B220" s="71" t="s">
        <v>251</v>
      </c>
      <c r="C220" s="71" t="s">
        <v>342</v>
      </c>
      <c r="D220" s="72" t="n">
        <v>326.2</v>
      </c>
      <c r="E220" s="73" t="n">
        <v>25.4</v>
      </c>
      <c r="F220" s="71" t="s">
        <v>470</v>
      </c>
    </row>
    <row r="221" customFormat="false" ht="15" hidden="false" customHeight="false" outlineLevel="0" collapsed="false">
      <c r="A221" s="71" t="s">
        <v>1237</v>
      </c>
      <c r="B221" s="71" t="s">
        <v>254</v>
      </c>
      <c r="C221" s="71" t="s">
        <v>342</v>
      </c>
      <c r="D221" s="72" t="n">
        <v>326.6</v>
      </c>
      <c r="E221" s="73" t="n">
        <v>25.5</v>
      </c>
      <c r="F221" s="71" t="s">
        <v>470</v>
      </c>
    </row>
    <row r="222" customFormat="false" ht="15" hidden="false" customHeight="false" outlineLevel="0" collapsed="false">
      <c r="A222" s="71" t="s">
        <v>1238</v>
      </c>
      <c r="B222" s="71" t="s">
        <v>254</v>
      </c>
      <c r="C222" s="71" t="s">
        <v>342</v>
      </c>
      <c r="D222" s="72" t="n">
        <v>327.2</v>
      </c>
      <c r="E222" s="73" t="n">
        <v>25.5</v>
      </c>
      <c r="F222" s="71" t="s">
        <v>470</v>
      </c>
    </row>
    <row r="223" customFormat="false" ht="15" hidden="false" customHeight="false" outlineLevel="0" collapsed="false">
      <c r="A223" s="71" t="s">
        <v>1239</v>
      </c>
      <c r="B223" s="71" t="s">
        <v>253</v>
      </c>
      <c r="C223" s="71" t="s">
        <v>342</v>
      </c>
      <c r="D223" s="72" t="n">
        <v>328.4</v>
      </c>
      <c r="E223" s="73" t="n">
        <v>25.6</v>
      </c>
      <c r="F223" s="71" t="s">
        <v>470</v>
      </c>
    </row>
    <row r="224" customFormat="false" ht="15" hidden="false" customHeight="false" outlineLevel="0" collapsed="false">
      <c r="A224" s="71" t="s">
        <v>1240</v>
      </c>
      <c r="B224" s="71" t="s">
        <v>252</v>
      </c>
      <c r="C224" s="71" t="s">
        <v>342</v>
      </c>
      <c r="D224" s="72" t="n">
        <v>333.2</v>
      </c>
      <c r="E224" s="73" t="n">
        <v>26</v>
      </c>
      <c r="F224" s="71" t="s">
        <v>470</v>
      </c>
    </row>
    <row r="225" customFormat="false" ht="15" hidden="false" customHeight="false" outlineLevel="0" collapsed="false">
      <c r="A225" s="71" t="s">
        <v>1241</v>
      </c>
      <c r="B225" s="71" t="s">
        <v>253</v>
      </c>
      <c r="C225" s="71" t="s">
        <v>342</v>
      </c>
      <c r="D225" s="72" t="n">
        <v>337.8</v>
      </c>
      <c r="E225" s="73" t="n">
        <v>26.3</v>
      </c>
      <c r="F225" s="71" t="s">
        <v>470</v>
      </c>
    </row>
    <row r="226" customFormat="false" ht="15" hidden="false" customHeight="false" outlineLevel="0" collapsed="false">
      <c r="A226" s="71" t="s">
        <v>1242</v>
      </c>
      <c r="B226" s="71" t="s">
        <v>252</v>
      </c>
      <c r="C226" s="71" t="s">
        <v>342</v>
      </c>
      <c r="D226" s="72" t="n">
        <v>340.8</v>
      </c>
      <c r="E226" s="73" t="n">
        <v>26.6</v>
      </c>
      <c r="F226" s="71" t="s">
        <v>470</v>
      </c>
    </row>
    <row r="227" customFormat="false" ht="15" hidden="false" customHeight="false" outlineLevel="0" collapsed="false">
      <c r="A227" s="71" t="s">
        <v>1243</v>
      </c>
      <c r="B227" s="71" t="s">
        <v>253</v>
      </c>
      <c r="C227" s="71" t="s">
        <v>342</v>
      </c>
      <c r="D227" s="72" t="n">
        <v>343.8</v>
      </c>
      <c r="E227" s="73" t="n">
        <v>26.8</v>
      </c>
      <c r="F227" s="71" t="s">
        <v>470</v>
      </c>
    </row>
    <row r="228" customFormat="false" ht="15" hidden="false" customHeight="false" outlineLevel="0" collapsed="false">
      <c r="A228" s="71" t="s">
        <v>1244</v>
      </c>
      <c r="B228" s="71" t="s">
        <v>251</v>
      </c>
      <c r="C228" s="71" t="s">
        <v>342</v>
      </c>
      <c r="D228" s="72" t="n">
        <v>357.6</v>
      </c>
      <c r="E228" s="73" t="n">
        <v>27.9</v>
      </c>
      <c r="F228" s="71" t="s">
        <v>470</v>
      </c>
    </row>
    <row r="229" customFormat="false" ht="15" hidden="false" customHeight="false" outlineLevel="0" collapsed="false">
      <c r="A229" s="71" t="s">
        <v>1245</v>
      </c>
      <c r="B229" s="71" t="s">
        <v>252</v>
      </c>
      <c r="C229" s="71" t="s">
        <v>342</v>
      </c>
      <c r="D229" s="72" t="n">
        <v>360</v>
      </c>
      <c r="E229" s="73" t="n">
        <v>28.1</v>
      </c>
      <c r="F229" s="71" t="s">
        <v>470</v>
      </c>
    </row>
    <row r="230" customFormat="false" ht="15" hidden="false" customHeight="false" outlineLevel="0" collapsed="false">
      <c r="A230" s="71" t="s">
        <v>1246</v>
      </c>
      <c r="B230" s="71" t="s">
        <v>252</v>
      </c>
      <c r="C230" s="71" t="s">
        <v>342</v>
      </c>
      <c r="D230" s="72" t="n">
        <v>360.4</v>
      </c>
      <c r="E230" s="73" t="n">
        <v>28.1</v>
      </c>
      <c r="F230" s="71" t="s">
        <v>470</v>
      </c>
    </row>
    <row r="231" customFormat="false" ht="15" hidden="false" customHeight="false" outlineLevel="0" collapsed="false">
      <c r="A231" s="71" t="s">
        <v>1247</v>
      </c>
      <c r="B231" s="71" t="s">
        <v>251</v>
      </c>
      <c r="C231" s="71" t="s">
        <v>342</v>
      </c>
      <c r="D231" s="72" t="n">
        <v>360.6</v>
      </c>
      <c r="E231" s="73" t="n">
        <v>28.1</v>
      </c>
      <c r="F231" s="71" t="s">
        <v>470</v>
      </c>
    </row>
    <row r="232" customFormat="false" ht="15" hidden="false" customHeight="false" outlineLevel="0" collapsed="false">
      <c r="A232" s="71" t="s">
        <v>1248</v>
      </c>
      <c r="B232" s="71" t="s">
        <v>252</v>
      </c>
      <c r="C232" s="71" t="s">
        <v>342</v>
      </c>
      <c r="D232" s="72" t="n">
        <v>364.6</v>
      </c>
      <c r="E232" s="73" t="n">
        <v>28.4</v>
      </c>
      <c r="F232" s="71" t="s">
        <v>470</v>
      </c>
    </row>
    <row r="233" customFormat="false" ht="15" hidden="false" customHeight="false" outlineLevel="0" collapsed="false">
      <c r="A233" s="71" t="s">
        <v>1249</v>
      </c>
      <c r="B233" s="71" t="s">
        <v>251</v>
      </c>
      <c r="C233" s="71" t="s">
        <v>342</v>
      </c>
      <c r="D233" s="72" t="n">
        <v>368.8</v>
      </c>
      <c r="E233" s="73" t="n">
        <v>28.8</v>
      </c>
      <c r="F233" s="71" t="s">
        <v>470</v>
      </c>
    </row>
    <row r="234" customFormat="false" ht="15" hidden="false" customHeight="false" outlineLevel="0" collapsed="false">
      <c r="A234" s="71" t="s">
        <v>1250</v>
      </c>
      <c r="B234" s="71" t="s">
        <v>251</v>
      </c>
      <c r="C234" s="71" t="s">
        <v>342</v>
      </c>
      <c r="D234" s="72" t="n">
        <v>371.6</v>
      </c>
      <c r="E234" s="73" t="n">
        <v>29</v>
      </c>
      <c r="F234" s="71" t="s">
        <v>470</v>
      </c>
    </row>
    <row r="235" customFormat="false" ht="15" hidden="false" customHeight="false" outlineLevel="0" collapsed="false">
      <c r="A235" s="71" t="s">
        <v>1251</v>
      </c>
      <c r="B235" s="71" t="s">
        <v>251</v>
      </c>
      <c r="C235" s="71" t="s">
        <v>342</v>
      </c>
      <c r="D235" s="72" t="n">
        <v>373.2</v>
      </c>
      <c r="E235" s="73" t="n">
        <v>29.1</v>
      </c>
      <c r="F235" s="71" t="s">
        <v>470</v>
      </c>
    </row>
    <row r="236" customFormat="false" ht="15" hidden="false" customHeight="false" outlineLevel="0" collapsed="false">
      <c r="A236" s="71" t="s">
        <v>1252</v>
      </c>
      <c r="B236" s="71" t="s">
        <v>252</v>
      </c>
      <c r="C236" s="71" t="s">
        <v>342</v>
      </c>
      <c r="D236" s="72" t="n">
        <v>377.4</v>
      </c>
      <c r="E236" s="73" t="n">
        <v>29.4</v>
      </c>
      <c r="F236" s="71" t="s">
        <v>470</v>
      </c>
    </row>
    <row r="237" customFormat="false" ht="15" hidden="false" customHeight="false" outlineLevel="0" collapsed="false">
      <c r="A237" s="71" t="s">
        <v>1253</v>
      </c>
      <c r="B237" s="71" t="s">
        <v>252</v>
      </c>
      <c r="C237" s="71" t="s">
        <v>342</v>
      </c>
      <c r="D237" s="72" t="n">
        <v>378.6</v>
      </c>
      <c r="E237" s="73" t="n">
        <v>29.5</v>
      </c>
      <c r="F237" s="71" t="s">
        <v>470</v>
      </c>
    </row>
    <row r="238" customFormat="false" ht="15" hidden="false" customHeight="false" outlineLevel="0" collapsed="false">
      <c r="A238" s="71" t="s">
        <v>1254</v>
      </c>
      <c r="B238" s="71" t="s">
        <v>251</v>
      </c>
      <c r="C238" s="71" t="s">
        <v>345</v>
      </c>
      <c r="D238" s="72" t="n">
        <v>383.4</v>
      </c>
      <c r="E238" s="73" t="n">
        <v>29.9</v>
      </c>
      <c r="F238" s="71" t="s">
        <v>470</v>
      </c>
    </row>
    <row r="239" customFormat="false" ht="15" hidden="false" customHeight="false" outlineLevel="0" collapsed="false">
      <c r="A239" s="71" t="s">
        <v>1255</v>
      </c>
      <c r="B239" s="71" t="s">
        <v>252</v>
      </c>
      <c r="C239" s="71" t="s">
        <v>342</v>
      </c>
      <c r="D239" s="72" t="n">
        <v>383.6</v>
      </c>
      <c r="E239" s="73" t="n">
        <v>29.9</v>
      </c>
      <c r="F239" s="71" t="s">
        <v>470</v>
      </c>
    </row>
    <row r="240" customFormat="false" ht="15" hidden="false" customHeight="false" outlineLevel="0" collapsed="false">
      <c r="A240" s="71" t="s">
        <v>1256</v>
      </c>
      <c r="B240" s="71" t="s">
        <v>252</v>
      </c>
      <c r="C240" s="71" t="s">
        <v>342</v>
      </c>
      <c r="D240" s="72" t="n">
        <v>389</v>
      </c>
      <c r="E240" s="73" t="n">
        <v>30.3</v>
      </c>
      <c r="F240" s="71" t="s">
        <v>470</v>
      </c>
    </row>
    <row r="241" customFormat="false" ht="15" hidden="false" customHeight="false" outlineLevel="0" collapsed="false">
      <c r="A241" s="71" t="s">
        <v>1257</v>
      </c>
      <c r="B241" s="71" t="s">
        <v>252</v>
      </c>
      <c r="C241" s="71" t="s">
        <v>342</v>
      </c>
      <c r="D241" s="72" t="n">
        <v>392.4</v>
      </c>
      <c r="E241" s="73" t="n">
        <v>30.6</v>
      </c>
      <c r="F241" s="71" t="s">
        <v>470</v>
      </c>
    </row>
    <row r="242" customFormat="false" ht="15" hidden="false" customHeight="false" outlineLevel="0" collapsed="false">
      <c r="A242" s="71" t="s">
        <v>1258</v>
      </c>
      <c r="B242" s="71" t="s">
        <v>251</v>
      </c>
      <c r="C242" s="71" t="s">
        <v>342</v>
      </c>
      <c r="D242" s="72" t="n">
        <v>405</v>
      </c>
      <c r="E242" s="73" t="n">
        <v>31.6</v>
      </c>
      <c r="F242" s="71" t="s">
        <v>470</v>
      </c>
    </row>
    <row r="243" customFormat="false" ht="15" hidden="false" customHeight="false" outlineLevel="0" collapsed="false">
      <c r="A243" s="71" t="s">
        <v>1259</v>
      </c>
      <c r="B243" s="71" t="s">
        <v>251</v>
      </c>
      <c r="C243" s="71" t="s">
        <v>342</v>
      </c>
      <c r="D243" s="72" t="n">
        <v>417.4</v>
      </c>
      <c r="E243" s="73" t="n">
        <v>32.6</v>
      </c>
      <c r="F243" s="71" t="s">
        <v>470</v>
      </c>
    </row>
    <row r="244" customFormat="false" ht="15" hidden="false" customHeight="false" outlineLevel="0" collapsed="false">
      <c r="A244" s="71" t="s">
        <v>1260</v>
      </c>
      <c r="B244" s="71" t="s">
        <v>251</v>
      </c>
      <c r="C244" s="71" t="s">
        <v>342</v>
      </c>
      <c r="D244" s="72" t="n">
        <v>420.2</v>
      </c>
      <c r="E244" s="73" t="n">
        <v>32.8</v>
      </c>
      <c r="F244" s="71" t="s">
        <v>470</v>
      </c>
    </row>
  </sheetData>
  <mergeCells count="8">
    <mergeCell ref="A1:F1"/>
    <mergeCell ref="A10:F10"/>
    <mergeCell ref="A11:F11"/>
    <mergeCell ref="A12:F12"/>
    <mergeCell ref="A13:F13"/>
    <mergeCell ref="A14:F14"/>
    <mergeCell ref="A15:F15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1261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12007.5</v>
      </c>
    </row>
    <row r="4" customFormat="false" ht="15" hidden="false" customHeight="false" outlineLevel="0" collapsed="false">
      <c r="A4" s="39" t="s">
        <v>134</v>
      </c>
      <c r="B4" s="0" t="n">
        <v>59</v>
      </c>
    </row>
    <row r="5" customFormat="false" ht="15" hidden="false" customHeight="false" outlineLevel="0" collapsed="false">
      <c r="A5" s="39" t="s">
        <v>368</v>
      </c>
      <c r="B5" s="53" t="s">
        <v>1262</v>
      </c>
    </row>
    <row r="6" customFormat="false" ht="15" hidden="false" customHeight="false" outlineLevel="0" collapsed="false">
      <c r="A6" s="39" t="s">
        <v>370</v>
      </c>
      <c r="B6" s="54" t="n">
        <v>17.2651158381753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0.345302316763505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1263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1264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1265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1266</v>
      </c>
      <c r="B14" s="58"/>
      <c r="C14" s="58"/>
      <c r="D14" s="58"/>
      <c r="E14" s="58"/>
      <c r="F14" s="58"/>
    </row>
    <row r="16" customFormat="false" ht="15" hidden="false" customHeight="false" outlineLevel="0" collapsed="false">
      <c r="A16" s="59" t="s">
        <v>378</v>
      </c>
    </row>
    <row r="17" customFormat="false" ht="26.85" hidden="false" customHeight="false" outlineLevel="0" collapsed="false">
      <c r="A17" s="6" t="s">
        <v>210</v>
      </c>
      <c r="B17" s="6" t="s">
        <v>134</v>
      </c>
      <c r="C17" s="6" t="s">
        <v>132</v>
      </c>
      <c r="D17" s="6" t="s">
        <v>379</v>
      </c>
      <c r="E17" s="6" t="s">
        <v>380</v>
      </c>
    </row>
    <row r="18" customFormat="false" ht="15" hidden="false" customHeight="false" outlineLevel="0" collapsed="false">
      <c r="A18" s="63" t="s">
        <v>239</v>
      </c>
      <c r="B18" s="63" t="n">
        <v>18</v>
      </c>
      <c r="C18" s="64" t="n">
        <v>3682.6</v>
      </c>
      <c r="D18" s="65" t="n">
        <v>204.6</v>
      </c>
      <c r="E18" s="65" t="n">
        <v>17.4</v>
      </c>
    </row>
    <row r="19" customFormat="false" ht="15" hidden="false" customHeight="false" outlineLevel="0" collapsed="false">
      <c r="A19" s="63" t="s">
        <v>240</v>
      </c>
      <c r="B19" s="63" t="n">
        <v>14</v>
      </c>
      <c r="C19" s="64" t="n">
        <v>3152.4</v>
      </c>
      <c r="D19" s="65" t="n">
        <v>225.2</v>
      </c>
      <c r="E19" s="65" t="n">
        <v>19.1</v>
      </c>
    </row>
    <row r="20" customFormat="false" ht="15" hidden="false" customHeight="false" outlineLevel="0" collapsed="false">
      <c r="A20" s="63" t="s">
        <v>241</v>
      </c>
      <c r="B20" s="63" t="n">
        <v>16</v>
      </c>
      <c r="C20" s="64" t="n">
        <v>2672.9</v>
      </c>
      <c r="D20" s="65" t="n">
        <v>167.1</v>
      </c>
      <c r="E20" s="65" t="n">
        <v>14.2</v>
      </c>
    </row>
    <row r="21" customFormat="false" ht="15" hidden="false" customHeight="false" outlineLevel="0" collapsed="false">
      <c r="A21" s="63" t="s">
        <v>242</v>
      </c>
      <c r="B21" s="63" t="n">
        <v>17</v>
      </c>
      <c r="C21" s="64" t="n">
        <v>2499.6</v>
      </c>
      <c r="D21" s="65" t="n">
        <v>147</v>
      </c>
      <c r="E21" s="65" t="n">
        <v>12.5</v>
      </c>
    </row>
    <row r="23" customFormat="false" ht="15" hidden="false" customHeight="false" outlineLevel="0" collapsed="false">
      <c r="A23" s="59" t="s">
        <v>381</v>
      </c>
    </row>
    <row r="24" customFormat="false" ht="26.85" hidden="false" customHeight="false" outlineLevel="0" collapsed="false">
      <c r="A24" s="6" t="s">
        <v>161</v>
      </c>
      <c r="B24" s="6" t="s">
        <v>162</v>
      </c>
      <c r="C24" s="6" t="s">
        <v>163</v>
      </c>
      <c r="D24" s="6" t="s">
        <v>382</v>
      </c>
      <c r="E24" s="6" t="s">
        <v>383</v>
      </c>
      <c r="F24" s="6" t="s">
        <v>384</v>
      </c>
    </row>
    <row r="25" customFormat="false" ht="15" hidden="false" customHeight="false" outlineLevel="0" collapsed="false">
      <c r="A25" s="66" t="s">
        <v>174</v>
      </c>
      <c r="B25" s="67" t="n">
        <v>65230</v>
      </c>
      <c r="C25" s="67" t="n">
        <v>2881</v>
      </c>
      <c r="D25" s="68" t="n">
        <v>0</v>
      </c>
      <c r="E25" s="68" t="n">
        <v>0.96</v>
      </c>
      <c r="F25" s="69" t="n">
        <v>0.3</v>
      </c>
    </row>
    <row r="26" customFormat="false" ht="15" hidden="false" customHeight="false" outlineLevel="0" collapsed="false">
      <c r="A26" s="66" t="s">
        <v>43</v>
      </c>
      <c r="B26" s="67" t="n">
        <v>45255</v>
      </c>
      <c r="C26" s="67" t="n">
        <v>7648</v>
      </c>
      <c r="D26" s="68" t="n">
        <v>0</v>
      </c>
      <c r="E26" s="68" t="n">
        <v>0</v>
      </c>
      <c r="F26" s="69" t="n">
        <v>0</v>
      </c>
    </row>
    <row r="27" customFormat="false" ht="15" hidden="false" customHeight="false" outlineLevel="0" collapsed="false">
      <c r="A27" s="66" t="s">
        <v>175</v>
      </c>
      <c r="B27" s="67" t="n">
        <v>23317</v>
      </c>
      <c r="C27" s="67" t="n">
        <v>0</v>
      </c>
      <c r="D27" s="68" t="n">
        <v>0.29</v>
      </c>
      <c r="E27" s="68" t="n">
        <v>0.89</v>
      </c>
      <c r="F27" s="69" t="n">
        <v>0.7</v>
      </c>
    </row>
    <row r="28" customFormat="false" ht="15" hidden="false" customHeight="false" outlineLevel="0" collapsed="false">
      <c r="A28" s="66" t="s">
        <v>49</v>
      </c>
      <c r="B28" s="67" t="n">
        <v>17461</v>
      </c>
      <c r="C28" s="67" t="n">
        <v>0</v>
      </c>
      <c r="D28" s="68" t="n">
        <v>0</v>
      </c>
      <c r="E28" s="68" t="n">
        <v>0</v>
      </c>
      <c r="F28" s="69" t="n">
        <v>0</v>
      </c>
    </row>
    <row r="29" customFormat="false" ht="15" hidden="false" customHeight="false" outlineLevel="0" collapsed="false">
      <c r="A29" s="66" t="s">
        <v>45</v>
      </c>
      <c r="B29" s="67" t="n">
        <v>14548</v>
      </c>
      <c r="C29" s="67" t="n">
        <v>8141</v>
      </c>
      <c r="D29" s="68" t="n">
        <v>0</v>
      </c>
      <c r="E29" s="68" t="n">
        <v>0</v>
      </c>
      <c r="F29" s="69" t="n">
        <v>0</v>
      </c>
    </row>
    <row r="30" customFormat="false" ht="15" hidden="false" customHeight="false" outlineLevel="0" collapsed="false">
      <c r="A30" s="66" t="s">
        <v>178</v>
      </c>
      <c r="B30" s="67" t="n">
        <v>106</v>
      </c>
      <c r="C30" s="67" t="n">
        <v>0</v>
      </c>
      <c r="D30" s="68" t="n">
        <v>0</v>
      </c>
      <c r="E30" s="68" t="n">
        <v>0.7</v>
      </c>
      <c r="F30" s="69" t="n">
        <v>1.1</v>
      </c>
    </row>
    <row r="32" customFormat="false" ht="15" hidden="false" customHeight="false" outlineLevel="0" collapsed="false">
      <c r="A32" s="70" t="s">
        <v>385</v>
      </c>
      <c r="B32" s="70"/>
      <c r="C32" s="70"/>
      <c r="D32" s="70"/>
      <c r="E32" s="70"/>
      <c r="F32" s="70"/>
    </row>
    <row r="33" customFormat="false" ht="15" hidden="false" customHeight="false" outlineLevel="0" collapsed="false">
      <c r="A33" s="6" t="s">
        <v>275</v>
      </c>
      <c r="B33" s="6" t="s">
        <v>386</v>
      </c>
      <c r="C33" s="6" t="s">
        <v>276</v>
      </c>
      <c r="D33" s="6" t="s">
        <v>132</v>
      </c>
      <c r="E33" s="6" t="s">
        <v>387</v>
      </c>
      <c r="F33" s="6" t="s">
        <v>75</v>
      </c>
    </row>
    <row r="34" customFormat="false" ht="15" hidden="false" customHeight="false" outlineLevel="0" collapsed="false">
      <c r="A34" s="63" t="s">
        <v>1267</v>
      </c>
      <c r="B34" s="63" t="s">
        <v>242</v>
      </c>
      <c r="C34" s="63" t="s">
        <v>344</v>
      </c>
      <c r="D34" s="64" t="n">
        <v>0</v>
      </c>
      <c r="E34" s="65" t="n">
        <v>0</v>
      </c>
      <c r="F34" s="63" t="s">
        <v>389</v>
      </c>
    </row>
    <row r="35" customFormat="false" ht="15" hidden="false" customHeight="false" outlineLevel="0" collapsed="false">
      <c r="A35" s="77" t="s">
        <v>1268</v>
      </c>
      <c r="B35" s="77" t="s">
        <v>239</v>
      </c>
      <c r="C35" s="77" t="s">
        <v>342</v>
      </c>
      <c r="D35" s="78" t="n">
        <v>0</v>
      </c>
      <c r="E35" s="79" t="n">
        <v>0</v>
      </c>
      <c r="F35" s="77" t="s">
        <v>531</v>
      </c>
    </row>
    <row r="36" customFormat="false" ht="15" hidden="false" customHeight="false" outlineLevel="0" collapsed="false">
      <c r="A36" s="60" t="s">
        <v>1269</v>
      </c>
      <c r="B36" s="60" t="s">
        <v>239</v>
      </c>
      <c r="C36" s="60" t="s">
        <v>342</v>
      </c>
      <c r="D36" s="61" t="n">
        <v>1.2</v>
      </c>
      <c r="E36" s="62" t="n">
        <v>0.1</v>
      </c>
      <c r="F36" s="60" t="s">
        <v>391</v>
      </c>
    </row>
    <row r="37" customFormat="false" ht="15" hidden="false" customHeight="false" outlineLevel="0" collapsed="false">
      <c r="A37" s="60" t="s">
        <v>1270</v>
      </c>
      <c r="B37" s="60" t="s">
        <v>241</v>
      </c>
      <c r="C37" s="60" t="s">
        <v>348</v>
      </c>
      <c r="D37" s="61" t="n">
        <v>27.4</v>
      </c>
      <c r="E37" s="62" t="n">
        <v>2.3</v>
      </c>
      <c r="F37" s="60" t="s">
        <v>391</v>
      </c>
    </row>
    <row r="38" customFormat="false" ht="15" hidden="false" customHeight="false" outlineLevel="0" collapsed="false">
      <c r="A38" s="60" t="s">
        <v>1271</v>
      </c>
      <c r="B38" s="60" t="s">
        <v>241</v>
      </c>
      <c r="C38" s="60" t="s">
        <v>345</v>
      </c>
      <c r="D38" s="61" t="n">
        <v>37.6</v>
      </c>
      <c r="E38" s="62" t="n">
        <v>3.2</v>
      </c>
      <c r="F38" s="60" t="s">
        <v>391</v>
      </c>
    </row>
    <row r="39" customFormat="false" ht="15" hidden="false" customHeight="false" outlineLevel="0" collapsed="false">
      <c r="A39" s="60" t="s">
        <v>1272</v>
      </c>
      <c r="B39" s="60" t="s">
        <v>241</v>
      </c>
      <c r="C39" s="60" t="s">
        <v>348</v>
      </c>
      <c r="D39" s="61" t="n">
        <v>51.2</v>
      </c>
      <c r="E39" s="62" t="n">
        <v>4.3</v>
      </c>
      <c r="F39" s="60" t="s">
        <v>391</v>
      </c>
    </row>
    <row r="40" customFormat="false" ht="15" hidden="false" customHeight="false" outlineLevel="0" collapsed="false">
      <c r="A40" s="60" t="s">
        <v>1273</v>
      </c>
      <c r="B40" s="60" t="s">
        <v>242</v>
      </c>
      <c r="C40" s="60" t="s">
        <v>346</v>
      </c>
      <c r="D40" s="61" t="n">
        <v>85.5</v>
      </c>
      <c r="E40" s="62" t="n">
        <v>7.3</v>
      </c>
      <c r="F40" s="60" t="s">
        <v>391</v>
      </c>
    </row>
    <row r="41" customFormat="false" ht="15" hidden="false" customHeight="false" outlineLevel="0" collapsed="false">
      <c r="A41" s="60" t="s">
        <v>1274</v>
      </c>
      <c r="B41" s="60" t="s">
        <v>241</v>
      </c>
      <c r="C41" s="60" t="s">
        <v>348</v>
      </c>
      <c r="D41" s="61" t="n">
        <v>89.1</v>
      </c>
      <c r="E41" s="62" t="n">
        <v>7.6</v>
      </c>
      <c r="F41" s="60" t="s">
        <v>391</v>
      </c>
    </row>
    <row r="42" customFormat="false" ht="15" hidden="false" customHeight="false" outlineLevel="0" collapsed="false">
      <c r="A42" s="60" t="s">
        <v>1275</v>
      </c>
      <c r="B42" s="60" t="s">
        <v>241</v>
      </c>
      <c r="C42" s="60" t="s">
        <v>348</v>
      </c>
      <c r="D42" s="61" t="n">
        <v>89.8</v>
      </c>
      <c r="E42" s="62" t="n">
        <v>7.6</v>
      </c>
      <c r="F42" s="60" t="s">
        <v>391</v>
      </c>
    </row>
    <row r="43" customFormat="false" ht="15" hidden="false" customHeight="false" outlineLevel="0" collapsed="false">
      <c r="A43" s="60" t="s">
        <v>1276</v>
      </c>
      <c r="B43" s="60" t="s">
        <v>242</v>
      </c>
      <c r="C43" s="60" t="s">
        <v>344</v>
      </c>
      <c r="D43" s="61" t="n">
        <v>107.4</v>
      </c>
      <c r="E43" s="62" t="n">
        <v>9.1</v>
      </c>
      <c r="F43" s="60" t="s">
        <v>391</v>
      </c>
    </row>
    <row r="44" customFormat="false" ht="15" hidden="false" customHeight="false" outlineLevel="0" collapsed="false">
      <c r="A44" s="60" t="s">
        <v>1277</v>
      </c>
      <c r="B44" s="60" t="s">
        <v>240</v>
      </c>
      <c r="C44" s="60" t="s">
        <v>339</v>
      </c>
      <c r="D44" s="61" t="n">
        <v>109.1</v>
      </c>
      <c r="E44" s="62" t="n">
        <v>9.3</v>
      </c>
      <c r="F44" s="60" t="s">
        <v>391</v>
      </c>
    </row>
    <row r="45" customFormat="false" ht="15" hidden="false" customHeight="false" outlineLevel="0" collapsed="false">
      <c r="A45" s="60" t="s">
        <v>1278</v>
      </c>
      <c r="B45" s="60" t="s">
        <v>242</v>
      </c>
      <c r="C45" s="60" t="s">
        <v>339</v>
      </c>
      <c r="D45" s="61" t="n">
        <v>129.4</v>
      </c>
      <c r="E45" s="62" t="n">
        <v>11</v>
      </c>
      <c r="F45" s="60" t="s">
        <v>391</v>
      </c>
    </row>
    <row r="46" customFormat="false" ht="15" hidden="false" customHeight="false" outlineLevel="0" collapsed="false">
      <c r="A46" s="60" t="s">
        <v>1279</v>
      </c>
      <c r="B46" s="60" t="s">
        <v>242</v>
      </c>
      <c r="C46" s="60" t="s">
        <v>345</v>
      </c>
      <c r="D46" s="61" t="n">
        <v>129.9</v>
      </c>
      <c r="E46" s="62" t="n">
        <v>11</v>
      </c>
      <c r="F46" s="60" t="s">
        <v>391</v>
      </c>
    </row>
    <row r="47" customFormat="false" ht="15" hidden="false" customHeight="false" outlineLevel="0" collapsed="false">
      <c r="A47" s="60" t="s">
        <v>1280</v>
      </c>
      <c r="B47" s="60" t="s">
        <v>241</v>
      </c>
      <c r="C47" s="60" t="s">
        <v>345</v>
      </c>
      <c r="D47" s="61" t="n">
        <v>142.7</v>
      </c>
      <c r="E47" s="62" t="n">
        <v>12.1</v>
      </c>
      <c r="F47" s="60" t="s">
        <v>391</v>
      </c>
    </row>
    <row r="48" customFormat="false" ht="15" hidden="false" customHeight="false" outlineLevel="0" collapsed="false">
      <c r="A48" s="60" t="s">
        <v>1281</v>
      </c>
      <c r="B48" s="60" t="s">
        <v>241</v>
      </c>
      <c r="C48" s="60" t="s">
        <v>348</v>
      </c>
      <c r="D48" s="61" t="n">
        <v>152.5</v>
      </c>
      <c r="E48" s="62" t="n">
        <v>12.9</v>
      </c>
      <c r="F48" s="60" t="s">
        <v>391</v>
      </c>
    </row>
    <row r="49" customFormat="false" ht="15" hidden="false" customHeight="false" outlineLevel="0" collapsed="false">
      <c r="A49" s="60" t="s">
        <v>1282</v>
      </c>
      <c r="B49" s="60" t="s">
        <v>242</v>
      </c>
      <c r="C49" s="60" t="s">
        <v>341</v>
      </c>
      <c r="D49" s="61" t="n">
        <v>153.7</v>
      </c>
      <c r="E49" s="62" t="n">
        <v>13</v>
      </c>
      <c r="F49" s="60" t="s">
        <v>391</v>
      </c>
    </row>
    <row r="50" customFormat="false" ht="15" hidden="false" customHeight="false" outlineLevel="0" collapsed="false">
      <c r="A50" s="60" t="s">
        <v>1283</v>
      </c>
      <c r="B50" s="60" t="s">
        <v>242</v>
      </c>
      <c r="C50" s="60" t="s">
        <v>345</v>
      </c>
      <c r="D50" s="61" t="n">
        <v>158.7</v>
      </c>
      <c r="E50" s="62" t="n">
        <v>13.5</v>
      </c>
      <c r="F50" s="60" t="s">
        <v>391</v>
      </c>
    </row>
    <row r="51" customFormat="false" ht="15" hidden="false" customHeight="false" outlineLevel="0" collapsed="false">
      <c r="A51" s="60" t="s">
        <v>1284</v>
      </c>
      <c r="B51" s="60" t="s">
        <v>242</v>
      </c>
      <c r="C51" s="60" t="s">
        <v>341</v>
      </c>
      <c r="D51" s="61" t="n">
        <v>170.4</v>
      </c>
      <c r="E51" s="62" t="n">
        <v>14.5</v>
      </c>
      <c r="F51" s="60" t="s">
        <v>391</v>
      </c>
    </row>
    <row r="52" customFormat="false" ht="15" hidden="false" customHeight="false" outlineLevel="0" collapsed="false">
      <c r="A52" s="60" t="s">
        <v>1285</v>
      </c>
      <c r="B52" s="60" t="s">
        <v>242</v>
      </c>
      <c r="C52" s="60" t="s">
        <v>345</v>
      </c>
      <c r="D52" s="61" t="n">
        <v>171.6</v>
      </c>
      <c r="E52" s="62" t="n">
        <v>14.6</v>
      </c>
      <c r="F52" s="60" t="s">
        <v>391</v>
      </c>
    </row>
    <row r="53" customFormat="false" ht="15" hidden="false" customHeight="false" outlineLevel="0" collapsed="false">
      <c r="A53" s="60" t="s">
        <v>1286</v>
      </c>
      <c r="B53" s="60" t="s">
        <v>239</v>
      </c>
      <c r="C53" s="60" t="s">
        <v>345</v>
      </c>
      <c r="D53" s="61" t="n">
        <v>187.8</v>
      </c>
      <c r="E53" s="62" t="n">
        <v>15.9</v>
      </c>
      <c r="F53" s="60" t="s">
        <v>391</v>
      </c>
    </row>
    <row r="54" customFormat="false" ht="15" hidden="false" customHeight="false" outlineLevel="0" collapsed="false">
      <c r="A54" s="60" t="s">
        <v>1287</v>
      </c>
      <c r="B54" s="60" t="s">
        <v>242</v>
      </c>
      <c r="C54" s="60" t="s">
        <v>345</v>
      </c>
      <c r="D54" s="61" t="n">
        <v>199.4</v>
      </c>
      <c r="E54" s="62" t="n">
        <v>16.9</v>
      </c>
      <c r="F54" s="60" t="s">
        <v>391</v>
      </c>
    </row>
    <row r="55" customFormat="false" ht="15" hidden="false" customHeight="false" outlineLevel="0" collapsed="false">
      <c r="A55" s="60" t="s">
        <v>1288</v>
      </c>
      <c r="B55" s="60" t="s">
        <v>242</v>
      </c>
      <c r="C55" s="60" t="s">
        <v>345</v>
      </c>
      <c r="D55" s="61" t="n">
        <v>203.7</v>
      </c>
      <c r="E55" s="62" t="n">
        <v>17.3</v>
      </c>
      <c r="F55" s="60" t="s">
        <v>391</v>
      </c>
    </row>
    <row r="56" customFormat="false" ht="15" hidden="false" customHeight="false" outlineLevel="0" collapsed="false">
      <c r="A56" s="60" t="s">
        <v>1289</v>
      </c>
      <c r="B56" s="60" t="s">
        <v>241</v>
      </c>
      <c r="C56" s="60" t="s">
        <v>344</v>
      </c>
      <c r="D56" s="61" t="n">
        <v>204.8</v>
      </c>
      <c r="E56" s="62" t="n">
        <v>17.4</v>
      </c>
      <c r="F56" s="60" t="s">
        <v>391</v>
      </c>
    </row>
    <row r="57" customFormat="false" ht="15" hidden="false" customHeight="false" outlineLevel="0" collapsed="false">
      <c r="A57" s="60" t="s">
        <v>1290</v>
      </c>
      <c r="B57" s="60" t="s">
        <v>239</v>
      </c>
      <c r="C57" s="60" t="s">
        <v>345</v>
      </c>
      <c r="D57" s="61" t="n">
        <v>214.3</v>
      </c>
      <c r="E57" s="62" t="n">
        <v>18.2</v>
      </c>
      <c r="F57" s="60" t="s">
        <v>391</v>
      </c>
    </row>
    <row r="58" customFormat="false" ht="15" hidden="false" customHeight="false" outlineLevel="0" collapsed="false">
      <c r="A58" s="60" t="s">
        <v>1291</v>
      </c>
      <c r="B58" s="60" t="s">
        <v>239</v>
      </c>
      <c r="C58" s="60" t="s">
        <v>339</v>
      </c>
      <c r="D58" s="61" t="n">
        <v>225.4</v>
      </c>
      <c r="E58" s="62" t="n">
        <v>19.1</v>
      </c>
      <c r="F58" s="60" t="s">
        <v>391</v>
      </c>
    </row>
    <row r="59" customFormat="false" ht="15" hidden="false" customHeight="false" outlineLevel="0" collapsed="false">
      <c r="A59" s="60" t="s">
        <v>1292</v>
      </c>
      <c r="B59" s="60" t="s">
        <v>240</v>
      </c>
      <c r="C59" s="60" t="s">
        <v>339</v>
      </c>
      <c r="D59" s="61" t="n">
        <v>227.2</v>
      </c>
      <c r="E59" s="62" t="n">
        <v>19.3</v>
      </c>
      <c r="F59" s="60" t="s">
        <v>391</v>
      </c>
    </row>
    <row r="60" customFormat="false" ht="15" hidden="false" customHeight="false" outlineLevel="0" collapsed="false">
      <c r="A60" s="60" t="s">
        <v>1293</v>
      </c>
      <c r="B60" s="60" t="s">
        <v>239</v>
      </c>
      <c r="C60" s="60" t="s">
        <v>341</v>
      </c>
      <c r="D60" s="61" t="n">
        <v>227.7</v>
      </c>
      <c r="E60" s="62" t="n">
        <v>19.3</v>
      </c>
      <c r="F60" s="60" t="s">
        <v>391</v>
      </c>
    </row>
    <row r="61" customFormat="false" ht="15" hidden="false" customHeight="false" outlineLevel="0" collapsed="false">
      <c r="A61" s="60" t="s">
        <v>1294</v>
      </c>
      <c r="B61" s="60" t="s">
        <v>239</v>
      </c>
      <c r="C61" s="60" t="s">
        <v>341</v>
      </c>
      <c r="D61" s="61" t="n">
        <v>229.9</v>
      </c>
      <c r="E61" s="62" t="n">
        <v>19.5</v>
      </c>
      <c r="F61" s="60" t="s">
        <v>391</v>
      </c>
    </row>
    <row r="62" customFormat="false" ht="15" hidden="false" customHeight="false" outlineLevel="0" collapsed="false">
      <c r="A62" s="60" t="s">
        <v>1295</v>
      </c>
      <c r="B62" s="60" t="s">
        <v>241</v>
      </c>
      <c r="C62" s="60" t="s">
        <v>345</v>
      </c>
      <c r="D62" s="61" t="n">
        <v>232.8</v>
      </c>
      <c r="E62" s="62" t="n">
        <v>19.7</v>
      </c>
      <c r="F62" s="60" t="s">
        <v>391</v>
      </c>
    </row>
    <row r="63" customFormat="false" ht="15" hidden="false" customHeight="false" outlineLevel="0" collapsed="false">
      <c r="A63" s="60" t="s">
        <v>1296</v>
      </c>
      <c r="B63" s="60" t="s">
        <v>242</v>
      </c>
      <c r="C63" s="60" t="s">
        <v>344</v>
      </c>
      <c r="D63" s="61" t="n">
        <v>234.2</v>
      </c>
      <c r="E63" s="62" t="n">
        <v>19.9</v>
      </c>
      <c r="F63" s="60" t="s">
        <v>391</v>
      </c>
    </row>
    <row r="64" customFormat="false" ht="15" hidden="false" customHeight="false" outlineLevel="0" collapsed="false">
      <c r="A64" s="60" t="s">
        <v>1297</v>
      </c>
      <c r="B64" s="60" t="s">
        <v>239</v>
      </c>
      <c r="C64" s="60" t="s">
        <v>345</v>
      </c>
      <c r="D64" s="61" t="n">
        <v>237.9</v>
      </c>
      <c r="E64" s="62" t="n">
        <v>20.2</v>
      </c>
      <c r="F64" s="60" t="s">
        <v>391</v>
      </c>
    </row>
    <row r="65" customFormat="false" ht="15" hidden="false" customHeight="false" outlineLevel="0" collapsed="false">
      <c r="A65" s="60" t="s">
        <v>1298</v>
      </c>
      <c r="B65" s="60" t="s">
        <v>242</v>
      </c>
      <c r="C65" s="60" t="s">
        <v>346</v>
      </c>
      <c r="D65" s="61" t="n">
        <v>238.6</v>
      </c>
      <c r="E65" s="62" t="n">
        <v>20.2</v>
      </c>
      <c r="F65" s="60" t="s">
        <v>391</v>
      </c>
    </row>
    <row r="66" customFormat="false" ht="15" hidden="false" customHeight="false" outlineLevel="0" collapsed="false">
      <c r="A66" s="60" t="s">
        <v>1299</v>
      </c>
      <c r="B66" s="60" t="s">
        <v>240</v>
      </c>
      <c r="C66" s="60" t="s">
        <v>348</v>
      </c>
      <c r="D66" s="61" t="n">
        <v>239.9</v>
      </c>
      <c r="E66" s="62" t="n">
        <v>20.4</v>
      </c>
      <c r="F66" s="60" t="s">
        <v>391</v>
      </c>
    </row>
    <row r="67" customFormat="false" ht="15" hidden="false" customHeight="false" outlineLevel="0" collapsed="false">
      <c r="A67" s="60" t="s">
        <v>1300</v>
      </c>
      <c r="B67" s="60" t="s">
        <v>240</v>
      </c>
      <c r="C67" s="60" t="s">
        <v>345</v>
      </c>
      <c r="D67" s="61" t="n">
        <v>243.5</v>
      </c>
      <c r="E67" s="62" t="n">
        <v>20.7</v>
      </c>
      <c r="F67" s="60" t="s">
        <v>391</v>
      </c>
    </row>
    <row r="68" customFormat="false" ht="15" hidden="false" customHeight="false" outlineLevel="0" collapsed="false">
      <c r="A68" s="60" t="s">
        <v>1301</v>
      </c>
      <c r="B68" s="60" t="s">
        <v>240</v>
      </c>
      <c r="C68" s="60" t="s">
        <v>345</v>
      </c>
      <c r="D68" s="61" t="n">
        <v>244.6</v>
      </c>
      <c r="E68" s="62" t="n">
        <v>20.8</v>
      </c>
      <c r="F68" s="60" t="s">
        <v>391</v>
      </c>
    </row>
    <row r="69" customFormat="false" ht="15" hidden="false" customHeight="false" outlineLevel="0" collapsed="false">
      <c r="A69" s="60" t="s">
        <v>1302</v>
      </c>
      <c r="B69" s="60" t="s">
        <v>242</v>
      </c>
      <c r="C69" s="60" t="s">
        <v>344</v>
      </c>
      <c r="D69" s="61" t="n">
        <v>249.8</v>
      </c>
      <c r="E69" s="62" t="n">
        <v>21.2</v>
      </c>
      <c r="F69" s="60" t="s">
        <v>391</v>
      </c>
    </row>
    <row r="70" customFormat="false" ht="15" hidden="false" customHeight="false" outlineLevel="0" collapsed="false">
      <c r="A70" s="60" t="s">
        <v>1303</v>
      </c>
      <c r="B70" s="60" t="s">
        <v>241</v>
      </c>
      <c r="C70" s="60" t="s">
        <v>348</v>
      </c>
      <c r="D70" s="61" t="n">
        <v>250.7</v>
      </c>
      <c r="E70" s="62" t="n">
        <v>21.3</v>
      </c>
      <c r="F70" s="60" t="s">
        <v>391</v>
      </c>
    </row>
    <row r="71" customFormat="false" ht="15" hidden="false" customHeight="false" outlineLevel="0" collapsed="false">
      <c r="A71" s="60" t="s">
        <v>1304</v>
      </c>
      <c r="B71" s="60" t="s">
        <v>241</v>
      </c>
      <c r="C71" s="60" t="s">
        <v>348</v>
      </c>
      <c r="D71" s="61" t="n">
        <v>251.7</v>
      </c>
      <c r="E71" s="62" t="n">
        <v>21.4</v>
      </c>
      <c r="F71" s="60" t="s">
        <v>391</v>
      </c>
    </row>
    <row r="72" customFormat="false" ht="15" hidden="false" customHeight="false" outlineLevel="0" collapsed="false">
      <c r="A72" s="60" t="s">
        <v>1305</v>
      </c>
      <c r="B72" s="60" t="s">
        <v>240</v>
      </c>
      <c r="C72" s="60" t="s">
        <v>345</v>
      </c>
      <c r="D72" s="61" t="n">
        <v>259.5</v>
      </c>
      <c r="E72" s="62" t="n">
        <v>22</v>
      </c>
      <c r="F72" s="60" t="s">
        <v>391</v>
      </c>
    </row>
    <row r="73" customFormat="false" ht="15" hidden="false" customHeight="false" outlineLevel="0" collapsed="false">
      <c r="A73" s="60" t="s">
        <v>1306</v>
      </c>
      <c r="B73" s="60" t="s">
        <v>240</v>
      </c>
      <c r="C73" s="60" t="s">
        <v>345</v>
      </c>
      <c r="D73" s="61" t="n">
        <v>260.1</v>
      </c>
      <c r="E73" s="62" t="n">
        <v>22.1</v>
      </c>
      <c r="F73" s="60" t="s">
        <v>391</v>
      </c>
    </row>
    <row r="74" customFormat="false" ht="15" hidden="false" customHeight="false" outlineLevel="0" collapsed="false">
      <c r="A74" s="60" t="s">
        <v>1307</v>
      </c>
      <c r="B74" s="60" t="s">
        <v>240</v>
      </c>
      <c r="C74" s="60" t="s">
        <v>345</v>
      </c>
      <c r="D74" s="61" t="n">
        <v>262.5</v>
      </c>
      <c r="E74" s="62" t="n">
        <v>22.3</v>
      </c>
      <c r="F74" s="60" t="s">
        <v>391</v>
      </c>
    </row>
    <row r="75" customFormat="false" ht="15" hidden="false" customHeight="false" outlineLevel="0" collapsed="false">
      <c r="A75" s="60" t="s">
        <v>1308</v>
      </c>
      <c r="B75" s="60" t="s">
        <v>239</v>
      </c>
      <c r="C75" s="60" t="s">
        <v>345</v>
      </c>
      <c r="D75" s="61" t="n">
        <v>264.9</v>
      </c>
      <c r="E75" s="62" t="n">
        <v>22.5</v>
      </c>
      <c r="F75" s="60" t="s">
        <v>391</v>
      </c>
    </row>
    <row r="76" customFormat="false" ht="15" hidden="false" customHeight="false" outlineLevel="0" collapsed="false">
      <c r="A76" s="60" t="s">
        <v>1309</v>
      </c>
      <c r="B76" s="60" t="s">
        <v>242</v>
      </c>
      <c r="C76" s="60" t="s">
        <v>344</v>
      </c>
      <c r="D76" s="61" t="n">
        <v>265.4</v>
      </c>
      <c r="E76" s="62" t="n">
        <v>22.5</v>
      </c>
      <c r="F76" s="60" t="s">
        <v>391</v>
      </c>
    </row>
    <row r="77" customFormat="false" ht="15" hidden="false" customHeight="false" outlineLevel="0" collapsed="false">
      <c r="A77" s="60" t="s">
        <v>1310</v>
      </c>
      <c r="B77" s="60" t="s">
        <v>240</v>
      </c>
      <c r="C77" s="60" t="s">
        <v>345</v>
      </c>
      <c r="D77" s="61" t="n">
        <v>265.9</v>
      </c>
      <c r="E77" s="62" t="n">
        <v>22.6</v>
      </c>
      <c r="F77" s="60" t="s">
        <v>391</v>
      </c>
    </row>
    <row r="78" customFormat="false" ht="15" hidden="false" customHeight="false" outlineLevel="0" collapsed="false">
      <c r="A78" s="60" t="s">
        <v>1311</v>
      </c>
      <c r="B78" s="60" t="s">
        <v>241</v>
      </c>
      <c r="C78" s="60" t="s">
        <v>345</v>
      </c>
      <c r="D78" s="61" t="n">
        <v>267.3</v>
      </c>
      <c r="E78" s="62" t="n">
        <v>22.7</v>
      </c>
      <c r="F78" s="60" t="s">
        <v>391</v>
      </c>
    </row>
    <row r="79" customFormat="false" ht="15" hidden="false" customHeight="false" outlineLevel="0" collapsed="false">
      <c r="A79" s="60" t="s">
        <v>1312</v>
      </c>
      <c r="B79" s="60" t="s">
        <v>239</v>
      </c>
      <c r="C79" s="60" t="s">
        <v>344</v>
      </c>
      <c r="D79" s="61" t="n">
        <v>267.4</v>
      </c>
      <c r="E79" s="62" t="n">
        <v>22.7</v>
      </c>
      <c r="F79" s="60" t="s">
        <v>391</v>
      </c>
    </row>
    <row r="80" customFormat="false" ht="15" hidden="false" customHeight="false" outlineLevel="0" collapsed="false">
      <c r="A80" s="60" t="s">
        <v>1313</v>
      </c>
      <c r="B80" s="60" t="s">
        <v>241</v>
      </c>
      <c r="C80" s="60" t="s">
        <v>345</v>
      </c>
      <c r="D80" s="61" t="n">
        <v>268</v>
      </c>
      <c r="E80" s="62" t="n">
        <v>22.7</v>
      </c>
      <c r="F80" s="60" t="s">
        <v>391</v>
      </c>
    </row>
    <row r="81" customFormat="false" ht="15" hidden="false" customHeight="false" outlineLevel="0" collapsed="false">
      <c r="A81" s="60" t="s">
        <v>1314</v>
      </c>
      <c r="B81" s="60" t="s">
        <v>239</v>
      </c>
      <c r="C81" s="60" t="s">
        <v>344</v>
      </c>
      <c r="D81" s="61" t="n">
        <v>268.1</v>
      </c>
      <c r="E81" s="62" t="n">
        <v>22.7</v>
      </c>
      <c r="F81" s="60" t="s">
        <v>391</v>
      </c>
    </row>
    <row r="82" customFormat="false" ht="15" hidden="false" customHeight="false" outlineLevel="0" collapsed="false">
      <c r="A82" s="60" t="s">
        <v>1315</v>
      </c>
      <c r="B82" s="60" t="s">
        <v>239</v>
      </c>
      <c r="C82" s="60" t="s">
        <v>344</v>
      </c>
      <c r="D82" s="61" t="n">
        <v>272.3</v>
      </c>
      <c r="E82" s="62" t="n">
        <v>23.1</v>
      </c>
      <c r="F82" s="60" t="s">
        <v>391</v>
      </c>
    </row>
    <row r="83" customFormat="false" ht="15" hidden="false" customHeight="false" outlineLevel="0" collapsed="false">
      <c r="A83" s="60" t="s">
        <v>1316</v>
      </c>
      <c r="B83" s="60" t="s">
        <v>240</v>
      </c>
      <c r="C83" s="60" t="s">
        <v>345</v>
      </c>
      <c r="D83" s="61" t="n">
        <v>272.6</v>
      </c>
      <c r="E83" s="62" t="n">
        <v>23.1</v>
      </c>
      <c r="F83" s="60" t="s">
        <v>391</v>
      </c>
    </row>
    <row r="84" customFormat="false" ht="15" hidden="false" customHeight="false" outlineLevel="0" collapsed="false">
      <c r="A84" s="60" t="s">
        <v>1317</v>
      </c>
      <c r="B84" s="60" t="s">
        <v>239</v>
      </c>
      <c r="C84" s="60" t="s">
        <v>345</v>
      </c>
      <c r="D84" s="61" t="n">
        <v>274.6</v>
      </c>
      <c r="E84" s="62" t="n">
        <v>23.3</v>
      </c>
      <c r="F84" s="60" t="s">
        <v>391</v>
      </c>
    </row>
    <row r="85" customFormat="false" ht="15" hidden="false" customHeight="false" outlineLevel="0" collapsed="false">
      <c r="A85" s="60" t="s">
        <v>1318</v>
      </c>
      <c r="B85" s="60" t="s">
        <v>240</v>
      </c>
      <c r="C85" s="60" t="s">
        <v>344</v>
      </c>
      <c r="D85" s="61" t="n">
        <v>275.6</v>
      </c>
      <c r="E85" s="62" t="n">
        <v>23.4</v>
      </c>
      <c r="F85" s="60" t="s">
        <v>391</v>
      </c>
    </row>
    <row r="86" customFormat="false" ht="15" hidden="false" customHeight="false" outlineLevel="0" collapsed="false">
      <c r="A86" s="60" t="s">
        <v>1319</v>
      </c>
      <c r="B86" s="60" t="s">
        <v>240</v>
      </c>
      <c r="C86" s="60" t="s">
        <v>344</v>
      </c>
      <c r="D86" s="61" t="n">
        <v>276.5</v>
      </c>
      <c r="E86" s="62" t="n">
        <v>23.5</v>
      </c>
      <c r="F86" s="60" t="s">
        <v>391</v>
      </c>
    </row>
    <row r="87" customFormat="false" ht="15" hidden="false" customHeight="false" outlineLevel="0" collapsed="false">
      <c r="A87" s="60" t="s">
        <v>1320</v>
      </c>
      <c r="B87" s="60" t="s">
        <v>241</v>
      </c>
      <c r="C87" s="60" t="s">
        <v>341</v>
      </c>
      <c r="D87" s="61" t="n">
        <v>291.1</v>
      </c>
      <c r="E87" s="62" t="n">
        <v>24.7</v>
      </c>
      <c r="F87" s="60" t="s">
        <v>391</v>
      </c>
    </row>
    <row r="88" customFormat="false" ht="15" hidden="false" customHeight="false" outlineLevel="0" collapsed="false">
      <c r="A88" s="60" t="s">
        <v>1321</v>
      </c>
      <c r="B88" s="60" t="s">
        <v>239</v>
      </c>
      <c r="C88" s="60" t="s">
        <v>345</v>
      </c>
      <c r="D88" s="61" t="n">
        <v>292.7</v>
      </c>
      <c r="E88" s="62" t="n">
        <v>24.8</v>
      </c>
      <c r="F88" s="60" t="s">
        <v>391</v>
      </c>
    </row>
    <row r="89" customFormat="false" ht="15" hidden="false" customHeight="false" outlineLevel="0" collapsed="false">
      <c r="A89" s="71" t="s">
        <v>1322</v>
      </c>
      <c r="B89" s="71" t="s">
        <v>239</v>
      </c>
      <c r="C89" s="71" t="s">
        <v>345</v>
      </c>
      <c r="D89" s="72" t="n">
        <v>297.6</v>
      </c>
      <c r="E89" s="73" t="n">
        <v>25.2</v>
      </c>
      <c r="F89" s="71" t="s">
        <v>470</v>
      </c>
    </row>
    <row r="90" customFormat="false" ht="15" hidden="false" customHeight="false" outlineLevel="0" collapsed="false">
      <c r="A90" s="71" t="s">
        <v>1323</v>
      </c>
      <c r="B90" s="71" t="s">
        <v>239</v>
      </c>
      <c r="C90" s="71" t="s">
        <v>345</v>
      </c>
      <c r="D90" s="72" t="n">
        <v>302</v>
      </c>
      <c r="E90" s="73" t="n">
        <v>25.6</v>
      </c>
      <c r="F90" s="71" t="s">
        <v>470</v>
      </c>
    </row>
    <row r="91" customFormat="false" ht="15" hidden="false" customHeight="false" outlineLevel="0" collapsed="false">
      <c r="A91" s="71" t="s">
        <v>1324</v>
      </c>
      <c r="B91" s="71" t="s">
        <v>241</v>
      </c>
      <c r="C91" s="71" t="s">
        <v>345</v>
      </c>
      <c r="D91" s="72" t="n">
        <v>324.3</v>
      </c>
      <c r="E91" s="73" t="n">
        <v>27.5</v>
      </c>
      <c r="F91" s="71" t="s">
        <v>470</v>
      </c>
    </row>
    <row r="92" customFormat="false" ht="15" hidden="false" customHeight="false" outlineLevel="0" collapsed="false">
      <c r="A92" s="71" t="s">
        <v>1325</v>
      </c>
      <c r="B92" s="71" t="s">
        <v>239</v>
      </c>
      <c r="C92" s="71" t="s">
        <v>346</v>
      </c>
      <c r="D92" s="72" t="n">
        <v>328</v>
      </c>
      <c r="E92" s="73" t="n">
        <v>27.8</v>
      </c>
      <c r="F92" s="71" t="s">
        <v>470</v>
      </c>
    </row>
  </sheetData>
  <mergeCells count="7">
    <mergeCell ref="A1:F1"/>
    <mergeCell ref="A10:F10"/>
    <mergeCell ref="A11:F11"/>
    <mergeCell ref="A12:F12"/>
    <mergeCell ref="A13:F13"/>
    <mergeCell ref="A14:F14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1326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10852.8</v>
      </c>
    </row>
    <row r="4" customFormat="false" ht="15" hidden="false" customHeight="false" outlineLevel="0" collapsed="false">
      <c r="A4" s="39" t="s">
        <v>134</v>
      </c>
      <c r="B4" s="0" t="n">
        <v>63</v>
      </c>
    </row>
    <row r="5" customFormat="false" ht="15" hidden="false" customHeight="false" outlineLevel="0" collapsed="false">
      <c r="A5" s="39" t="s">
        <v>368</v>
      </c>
      <c r="B5" s="53" t="s">
        <v>683</v>
      </c>
    </row>
    <row r="6" customFormat="false" ht="15" hidden="false" customHeight="false" outlineLevel="0" collapsed="false">
      <c r="A6" s="39" t="s">
        <v>370</v>
      </c>
      <c r="B6" s="54" t="n">
        <v>13.2753933426094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0.265507866852189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1327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1328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1329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1330</v>
      </c>
      <c r="B14" s="58"/>
      <c r="C14" s="58"/>
      <c r="D14" s="58"/>
      <c r="E14" s="58"/>
      <c r="F14" s="58"/>
    </row>
    <row r="15" customFormat="false" ht="34.5" hidden="false" customHeight="true" outlineLevel="0" collapsed="false">
      <c r="A15" s="58" t="s">
        <v>1331</v>
      </c>
      <c r="B15" s="58"/>
      <c r="C15" s="58"/>
      <c r="D15" s="58"/>
      <c r="E15" s="58"/>
      <c r="F15" s="58"/>
    </row>
    <row r="17" customFormat="false" ht="15" hidden="false" customHeight="false" outlineLevel="0" collapsed="false">
      <c r="A17" s="59" t="s">
        <v>378</v>
      </c>
    </row>
    <row r="18" customFormat="false" ht="26.85" hidden="false" customHeight="false" outlineLevel="0" collapsed="false">
      <c r="A18" s="6" t="s">
        <v>210</v>
      </c>
      <c r="B18" s="6" t="s">
        <v>134</v>
      </c>
      <c r="C18" s="6" t="s">
        <v>132</v>
      </c>
      <c r="D18" s="6" t="s">
        <v>379</v>
      </c>
      <c r="E18" s="6" t="s">
        <v>380</v>
      </c>
    </row>
    <row r="19" customFormat="false" ht="15" hidden="false" customHeight="false" outlineLevel="0" collapsed="false">
      <c r="A19" s="63" t="s">
        <v>218</v>
      </c>
      <c r="B19" s="63" t="n">
        <v>47</v>
      </c>
      <c r="C19" s="64" t="n">
        <v>8723</v>
      </c>
      <c r="D19" s="65" t="n">
        <v>185.6</v>
      </c>
      <c r="E19" s="65" t="n">
        <v>14.3</v>
      </c>
    </row>
    <row r="20" customFormat="false" ht="15" hidden="false" customHeight="false" outlineLevel="0" collapsed="false">
      <c r="A20" s="63" t="s">
        <v>219</v>
      </c>
      <c r="B20" s="63" t="n">
        <v>16</v>
      </c>
      <c r="C20" s="64" t="n">
        <v>2129.8</v>
      </c>
      <c r="D20" s="65" t="n">
        <v>133.1</v>
      </c>
      <c r="E20" s="65" t="n">
        <v>10.3</v>
      </c>
    </row>
    <row r="22" customFormat="false" ht="15" hidden="false" customHeight="false" outlineLevel="0" collapsed="false">
      <c r="A22" s="59" t="s">
        <v>381</v>
      </c>
    </row>
    <row r="23" customFormat="false" ht="26.85" hidden="false" customHeight="false" outlineLevel="0" collapsed="false">
      <c r="A23" s="6" t="s">
        <v>161</v>
      </c>
      <c r="B23" s="6" t="s">
        <v>162</v>
      </c>
      <c r="C23" s="6" t="s">
        <v>163</v>
      </c>
      <c r="D23" s="6" t="s">
        <v>382</v>
      </c>
      <c r="E23" s="6" t="s">
        <v>383</v>
      </c>
      <c r="F23" s="6" t="s">
        <v>384</v>
      </c>
    </row>
    <row r="24" customFormat="false" ht="15" hidden="false" customHeight="false" outlineLevel="0" collapsed="false">
      <c r="A24" s="66" t="s">
        <v>174</v>
      </c>
      <c r="B24" s="67" t="n">
        <v>158243</v>
      </c>
      <c r="C24" s="67" t="n">
        <v>8464</v>
      </c>
      <c r="D24" s="68" t="n">
        <v>0</v>
      </c>
      <c r="E24" s="68" t="n">
        <v>0.946</v>
      </c>
      <c r="F24" s="69" t="n">
        <v>0.4</v>
      </c>
    </row>
    <row r="25" customFormat="false" ht="15" hidden="false" customHeight="false" outlineLevel="0" collapsed="false">
      <c r="A25" s="66" t="s">
        <v>175</v>
      </c>
      <c r="B25" s="67" t="n">
        <v>4276</v>
      </c>
      <c r="C25" s="67" t="n">
        <v>0</v>
      </c>
      <c r="D25" s="68" t="n">
        <v>0.138</v>
      </c>
      <c r="E25" s="68" t="n">
        <v>0.695</v>
      </c>
      <c r="F25" s="69" t="n">
        <v>0.9</v>
      </c>
    </row>
    <row r="26" customFormat="false" ht="15" hidden="false" customHeight="false" outlineLevel="0" collapsed="false">
      <c r="A26" s="66" t="s">
        <v>43</v>
      </c>
      <c r="B26" s="67" t="n">
        <v>3687</v>
      </c>
      <c r="C26" s="67" t="n">
        <v>417</v>
      </c>
      <c r="D26" s="68" t="n">
        <v>0</v>
      </c>
      <c r="E26" s="68" t="n">
        <v>0</v>
      </c>
      <c r="F26" s="69" t="n">
        <v>0</v>
      </c>
    </row>
    <row r="27" customFormat="false" ht="15" hidden="false" customHeight="false" outlineLevel="0" collapsed="false">
      <c r="A27" s="66" t="s">
        <v>49</v>
      </c>
      <c r="B27" s="67" t="n">
        <v>2802</v>
      </c>
      <c r="C27" s="67" t="n">
        <v>0</v>
      </c>
      <c r="D27" s="68" t="n">
        <v>0</v>
      </c>
      <c r="E27" s="68" t="n">
        <v>0</v>
      </c>
      <c r="F27" s="69" t="n">
        <v>0</v>
      </c>
    </row>
    <row r="28" customFormat="false" ht="15" hidden="false" customHeight="false" outlineLevel="0" collapsed="false">
      <c r="A28" s="66" t="s">
        <v>45</v>
      </c>
      <c r="B28" s="67" t="n">
        <v>382</v>
      </c>
      <c r="C28" s="67" t="n">
        <v>45</v>
      </c>
      <c r="D28" s="68" t="n">
        <v>0</v>
      </c>
      <c r="E28" s="68" t="n">
        <v>0</v>
      </c>
      <c r="F28" s="69" t="n">
        <v>0</v>
      </c>
    </row>
    <row r="30" customFormat="false" ht="15" hidden="false" customHeight="false" outlineLevel="0" collapsed="false">
      <c r="A30" s="70" t="s">
        <v>385</v>
      </c>
      <c r="B30" s="70"/>
      <c r="C30" s="70"/>
      <c r="D30" s="70"/>
      <c r="E30" s="70"/>
      <c r="F30" s="70"/>
    </row>
    <row r="31" customFormat="false" ht="15" hidden="false" customHeight="false" outlineLevel="0" collapsed="false">
      <c r="A31" s="6" t="s">
        <v>275</v>
      </c>
      <c r="B31" s="6" t="s">
        <v>386</v>
      </c>
      <c r="C31" s="6" t="s">
        <v>276</v>
      </c>
      <c r="D31" s="6" t="s">
        <v>132</v>
      </c>
      <c r="E31" s="6" t="s">
        <v>387</v>
      </c>
      <c r="F31" s="6" t="s">
        <v>75</v>
      </c>
    </row>
    <row r="32" customFormat="false" ht="15" hidden="false" customHeight="false" outlineLevel="0" collapsed="false">
      <c r="A32" s="77" t="s">
        <v>1332</v>
      </c>
      <c r="B32" s="77" t="s">
        <v>218</v>
      </c>
      <c r="C32" s="77" t="s">
        <v>350</v>
      </c>
      <c r="D32" s="78" t="n">
        <v>0</v>
      </c>
      <c r="E32" s="79" t="n">
        <v>0</v>
      </c>
      <c r="F32" s="77" t="s">
        <v>531</v>
      </c>
    </row>
    <row r="33" customFormat="false" ht="15" hidden="false" customHeight="false" outlineLevel="0" collapsed="false">
      <c r="A33" s="77" t="s">
        <v>1333</v>
      </c>
      <c r="B33" s="77" t="s">
        <v>218</v>
      </c>
      <c r="C33" s="77" t="s">
        <v>350</v>
      </c>
      <c r="D33" s="78" t="n">
        <v>0</v>
      </c>
      <c r="E33" s="79" t="n">
        <v>0</v>
      </c>
      <c r="F33" s="77" t="s">
        <v>531</v>
      </c>
    </row>
    <row r="34" customFormat="false" ht="15" hidden="false" customHeight="false" outlineLevel="0" collapsed="false">
      <c r="A34" s="77" t="s">
        <v>1334</v>
      </c>
      <c r="B34" s="77" t="s">
        <v>218</v>
      </c>
      <c r="C34" s="77" t="s">
        <v>350</v>
      </c>
      <c r="D34" s="78" t="n">
        <v>0</v>
      </c>
      <c r="E34" s="79" t="n">
        <v>0</v>
      </c>
      <c r="F34" s="77" t="s">
        <v>531</v>
      </c>
    </row>
    <row r="35" customFormat="false" ht="15" hidden="false" customHeight="false" outlineLevel="0" collapsed="false">
      <c r="A35" s="77" t="s">
        <v>1335</v>
      </c>
      <c r="B35" s="77" t="s">
        <v>218</v>
      </c>
      <c r="C35" s="77" t="s">
        <v>340</v>
      </c>
      <c r="D35" s="78" t="n">
        <v>0</v>
      </c>
      <c r="E35" s="79" t="n">
        <v>0</v>
      </c>
      <c r="F35" s="77" t="s">
        <v>531</v>
      </c>
    </row>
    <row r="36" customFormat="false" ht="15" hidden="false" customHeight="false" outlineLevel="0" collapsed="false">
      <c r="A36" s="77" t="s">
        <v>1336</v>
      </c>
      <c r="B36" s="77" t="s">
        <v>218</v>
      </c>
      <c r="C36" s="77" t="s">
        <v>340</v>
      </c>
      <c r="D36" s="78" t="n">
        <v>0</v>
      </c>
      <c r="E36" s="79" t="n">
        <v>0</v>
      </c>
      <c r="F36" s="77" t="s">
        <v>531</v>
      </c>
    </row>
    <row r="37" customFormat="false" ht="15" hidden="false" customHeight="false" outlineLevel="0" collapsed="false">
      <c r="A37" s="77" t="s">
        <v>1337</v>
      </c>
      <c r="B37" s="77" t="s">
        <v>218</v>
      </c>
      <c r="C37" s="77" t="s">
        <v>1338</v>
      </c>
      <c r="D37" s="78" t="n">
        <v>0</v>
      </c>
      <c r="E37" s="79" t="n">
        <v>0</v>
      </c>
      <c r="F37" s="77" t="s">
        <v>531</v>
      </c>
    </row>
    <row r="38" customFormat="false" ht="15" hidden="false" customHeight="false" outlineLevel="0" collapsed="false">
      <c r="A38" s="77" t="s">
        <v>1339</v>
      </c>
      <c r="B38" s="77" t="s">
        <v>218</v>
      </c>
      <c r="C38" s="77" t="s">
        <v>340</v>
      </c>
      <c r="D38" s="78" t="n">
        <v>0</v>
      </c>
      <c r="E38" s="79" t="n">
        <v>0</v>
      </c>
      <c r="F38" s="77" t="s">
        <v>531</v>
      </c>
    </row>
    <row r="39" customFormat="false" ht="15" hidden="false" customHeight="false" outlineLevel="0" collapsed="false">
      <c r="A39" s="77" t="s">
        <v>1340</v>
      </c>
      <c r="B39" s="77" t="s">
        <v>219</v>
      </c>
      <c r="C39" s="77" t="s">
        <v>342</v>
      </c>
      <c r="D39" s="78" t="n">
        <v>0</v>
      </c>
      <c r="E39" s="79" t="n">
        <v>0</v>
      </c>
      <c r="F39" s="77" t="s">
        <v>531</v>
      </c>
    </row>
    <row r="40" customFormat="false" ht="15" hidden="false" customHeight="false" outlineLevel="0" collapsed="false">
      <c r="A40" s="63" t="s">
        <v>1341</v>
      </c>
      <c r="B40" s="63" t="s">
        <v>219</v>
      </c>
      <c r="C40" s="63" t="s">
        <v>341</v>
      </c>
      <c r="D40" s="64" t="n">
        <v>0</v>
      </c>
      <c r="E40" s="65" t="n">
        <v>0</v>
      </c>
      <c r="F40" s="63" t="s">
        <v>389</v>
      </c>
    </row>
    <row r="41" customFormat="false" ht="15" hidden="false" customHeight="false" outlineLevel="0" collapsed="false">
      <c r="A41" s="60" t="s">
        <v>1342</v>
      </c>
      <c r="B41" s="60" t="s">
        <v>218</v>
      </c>
      <c r="C41" s="60" t="s">
        <v>340</v>
      </c>
      <c r="D41" s="61" t="n">
        <v>1</v>
      </c>
      <c r="E41" s="62" t="n">
        <v>0.1</v>
      </c>
      <c r="F41" s="60" t="s">
        <v>391</v>
      </c>
    </row>
    <row r="42" customFormat="false" ht="15" hidden="false" customHeight="false" outlineLevel="0" collapsed="false">
      <c r="A42" s="60" t="s">
        <v>1343</v>
      </c>
      <c r="B42" s="60" t="s">
        <v>218</v>
      </c>
      <c r="C42" s="60" t="s">
        <v>340</v>
      </c>
      <c r="D42" s="61" t="n">
        <v>1</v>
      </c>
      <c r="E42" s="62" t="n">
        <v>0.1</v>
      </c>
      <c r="F42" s="60" t="s">
        <v>391</v>
      </c>
    </row>
    <row r="43" customFormat="false" ht="15" hidden="false" customHeight="false" outlineLevel="0" collapsed="false">
      <c r="A43" s="60" t="s">
        <v>1344</v>
      </c>
      <c r="B43" s="60" t="s">
        <v>218</v>
      </c>
      <c r="C43" s="60" t="s">
        <v>350</v>
      </c>
      <c r="D43" s="61" t="n">
        <v>1</v>
      </c>
      <c r="E43" s="62" t="n">
        <v>0.1</v>
      </c>
      <c r="F43" s="60" t="s">
        <v>391</v>
      </c>
    </row>
    <row r="44" customFormat="false" ht="15" hidden="false" customHeight="false" outlineLevel="0" collapsed="false">
      <c r="A44" s="60" t="s">
        <v>1345</v>
      </c>
      <c r="B44" s="60" t="s">
        <v>218</v>
      </c>
      <c r="C44" s="60" t="s">
        <v>350</v>
      </c>
      <c r="D44" s="61" t="n">
        <v>1</v>
      </c>
      <c r="E44" s="62" t="n">
        <v>0.1</v>
      </c>
      <c r="F44" s="60" t="s">
        <v>391</v>
      </c>
    </row>
    <row r="45" customFormat="false" ht="15" hidden="false" customHeight="false" outlineLevel="0" collapsed="false">
      <c r="A45" s="60" t="s">
        <v>1346</v>
      </c>
      <c r="B45" s="60" t="s">
        <v>218</v>
      </c>
      <c r="C45" s="60" t="s">
        <v>340</v>
      </c>
      <c r="D45" s="61" t="n">
        <v>2</v>
      </c>
      <c r="E45" s="62" t="n">
        <v>0.2</v>
      </c>
      <c r="F45" s="60" t="s">
        <v>391</v>
      </c>
    </row>
    <row r="46" customFormat="false" ht="15" hidden="false" customHeight="false" outlineLevel="0" collapsed="false">
      <c r="A46" s="60" t="s">
        <v>1347</v>
      </c>
      <c r="B46" s="60" t="s">
        <v>218</v>
      </c>
      <c r="C46" s="60" t="s">
        <v>340</v>
      </c>
      <c r="D46" s="61" t="n">
        <v>2</v>
      </c>
      <c r="E46" s="62" t="n">
        <v>0.2</v>
      </c>
      <c r="F46" s="60" t="s">
        <v>391</v>
      </c>
    </row>
    <row r="47" customFormat="false" ht="15" hidden="false" customHeight="false" outlineLevel="0" collapsed="false">
      <c r="A47" s="60" t="s">
        <v>1348</v>
      </c>
      <c r="B47" s="60" t="s">
        <v>219</v>
      </c>
      <c r="C47" s="60" t="s">
        <v>345</v>
      </c>
      <c r="D47" s="61" t="n">
        <v>14.7</v>
      </c>
      <c r="E47" s="62" t="n">
        <v>1.1</v>
      </c>
      <c r="F47" s="60" t="s">
        <v>391</v>
      </c>
    </row>
    <row r="48" customFormat="false" ht="15" hidden="false" customHeight="false" outlineLevel="0" collapsed="false">
      <c r="A48" s="60" t="s">
        <v>1349</v>
      </c>
      <c r="B48" s="60" t="s">
        <v>219</v>
      </c>
      <c r="C48" s="60" t="s">
        <v>341</v>
      </c>
      <c r="D48" s="61" t="n">
        <v>29</v>
      </c>
      <c r="E48" s="62" t="n">
        <v>2.2</v>
      </c>
      <c r="F48" s="60" t="s">
        <v>391</v>
      </c>
    </row>
    <row r="49" customFormat="false" ht="15" hidden="false" customHeight="false" outlineLevel="0" collapsed="false">
      <c r="A49" s="60" t="s">
        <v>1350</v>
      </c>
      <c r="B49" s="60" t="s">
        <v>219</v>
      </c>
      <c r="C49" s="60" t="s">
        <v>341</v>
      </c>
      <c r="D49" s="61" t="n">
        <v>62.4</v>
      </c>
      <c r="E49" s="62" t="n">
        <v>4.8</v>
      </c>
      <c r="F49" s="60" t="s">
        <v>391</v>
      </c>
    </row>
    <row r="50" customFormat="false" ht="15" hidden="false" customHeight="false" outlineLevel="0" collapsed="false">
      <c r="A50" s="60" t="s">
        <v>1351</v>
      </c>
      <c r="B50" s="60" t="s">
        <v>219</v>
      </c>
      <c r="C50" s="60" t="s">
        <v>341</v>
      </c>
      <c r="D50" s="61" t="n">
        <v>96.5</v>
      </c>
      <c r="E50" s="62" t="n">
        <v>7.4</v>
      </c>
      <c r="F50" s="60" t="s">
        <v>391</v>
      </c>
    </row>
    <row r="51" customFormat="false" ht="15" hidden="false" customHeight="false" outlineLevel="0" collapsed="false">
      <c r="A51" s="60" t="s">
        <v>1352</v>
      </c>
      <c r="B51" s="60" t="s">
        <v>219</v>
      </c>
      <c r="C51" s="60" t="s">
        <v>341</v>
      </c>
      <c r="D51" s="61" t="n">
        <v>110.5</v>
      </c>
      <c r="E51" s="62" t="n">
        <v>8.5</v>
      </c>
      <c r="F51" s="60" t="s">
        <v>391</v>
      </c>
    </row>
    <row r="52" customFormat="false" ht="15" hidden="false" customHeight="false" outlineLevel="0" collapsed="false">
      <c r="A52" s="60" t="s">
        <v>1353</v>
      </c>
      <c r="B52" s="60" t="s">
        <v>219</v>
      </c>
      <c r="C52" s="60" t="s">
        <v>341</v>
      </c>
      <c r="D52" s="61" t="n">
        <v>161.1</v>
      </c>
      <c r="E52" s="62" t="n">
        <v>12.4</v>
      </c>
      <c r="F52" s="60" t="s">
        <v>391</v>
      </c>
    </row>
    <row r="53" customFormat="false" ht="15" hidden="false" customHeight="false" outlineLevel="0" collapsed="false">
      <c r="A53" s="60" t="s">
        <v>1354</v>
      </c>
      <c r="B53" s="60" t="s">
        <v>219</v>
      </c>
      <c r="C53" s="60" t="s">
        <v>341</v>
      </c>
      <c r="D53" s="61" t="n">
        <v>166.4</v>
      </c>
      <c r="E53" s="62" t="n">
        <v>12.8</v>
      </c>
      <c r="F53" s="60" t="s">
        <v>391</v>
      </c>
    </row>
    <row r="54" customFormat="false" ht="15" hidden="false" customHeight="false" outlineLevel="0" collapsed="false">
      <c r="A54" s="60" t="s">
        <v>1355</v>
      </c>
      <c r="B54" s="60" t="s">
        <v>219</v>
      </c>
      <c r="C54" s="60" t="s">
        <v>341</v>
      </c>
      <c r="D54" s="61" t="n">
        <v>187.7</v>
      </c>
      <c r="E54" s="62" t="n">
        <v>14.5</v>
      </c>
      <c r="F54" s="60" t="s">
        <v>391</v>
      </c>
    </row>
    <row r="55" customFormat="false" ht="15" hidden="false" customHeight="false" outlineLevel="0" collapsed="false">
      <c r="A55" s="60" t="s">
        <v>1356</v>
      </c>
      <c r="B55" s="60" t="s">
        <v>218</v>
      </c>
      <c r="C55" s="60" t="s">
        <v>340</v>
      </c>
      <c r="D55" s="61" t="n">
        <v>199.4</v>
      </c>
      <c r="E55" s="62" t="n">
        <v>15.4</v>
      </c>
      <c r="F55" s="60" t="s">
        <v>391</v>
      </c>
    </row>
    <row r="56" customFormat="false" ht="15" hidden="false" customHeight="false" outlineLevel="0" collapsed="false">
      <c r="A56" s="60" t="s">
        <v>1357</v>
      </c>
      <c r="B56" s="60" t="s">
        <v>219</v>
      </c>
      <c r="C56" s="60" t="s">
        <v>341</v>
      </c>
      <c r="D56" s="61" t="n">
        <v>199.5</v>
      </c>
      <c r="E56" s="62" t="n">
        <v>15.4</v>
      </c>
      <c r="F56" s="60" t="s">
        <v>391</v>
      </c>
    </row>
    <row r="57" customFormat="false" ht="15" hidden="false" customHeight="false" outlineLevel="0" collapsed="false">
      <c r="A57" s="60" t="s">
        <v>1358</v>
      </c>
      <c r="B57" s="60" t="s">
        <v>219</v>
      </c>
      <c r="C57" s="60" t="s">
        <v>341</v>
      </c>
      <c r="D57" s="61" t="n">
        <v>201.5</v>
      </c>
      <c r="E57" s="62" t="n">
        <v>15.5</v>
      </c>
      <c r="F57" s="60" t="s">
        <v>391</v>
      </c>
    </row>
    <row r="58" customFormat="false" ht="15" hidden="false" customHeight="false" outlineLevel="0" collapsed="false">
      <c r="A58" s="60" t="s">
        <v>1359</v>
      </c>
      <c r="B58" s="60" t="s">
        <v>219</v>
      </c>
      <c r="C58" s="60" t="s">
        <v>341</v>
      </c>
      <c r="D58" s="61" t="n">
        <v>213.2</v>
      </c>
      <c r="E58" s="62" t="n">
        <v>16.4</v>
      </c>
      <c r="F58" s="60" t="s">
        <v>391</v>
      </c>
    </row>
    <row r="59" customFormat="false" ht="15" hidden="false" customHeight="false" outlineLevel="0" collapsed="false">
      <c r="A59" s="60" t="s">
        <v>1360</v>
      </c>
      <c r="B59" s="60" t="s">
        <v>219</v>
      </c>
      <c r="C59" s="60" t="s">
        <v>341</v>
      </c>
      <c r="D59" s="61" t="n">
        <v>214.4</v>
      </c>
      <c r="E59" s="62" t="n">
        <v>16.5</v>
      </c>
      <c r="F59" s="60" t="s">
        <v>391</v>
      </c>
    </row>
    <row r="60" customFormat="false" ht="15" hidden="false" customHeight="false" outlineLevel="0" collapsed="false">
      <c r="A60" s="60" t="s">
        <v>1361</v>
      </c>
      <c r="B60" s="60" t="s">
        <v>218</v>
      </c>
      <c r="C60" s="60" t="s">
        <v>340</v>
      </c>
      <c r="D60" s="61" t="n">
        <v>225.8</v>
      </c>
      <c r="E60" s="62" t="n">
        <v>17.4</v>
      </c>
      <c r="F60" s="60" t="s">
        <v>391</v>
      </c>
    </row>
    <row r="61" customFormat="false" ht="15" hidden="false" customHeight="false" outlineLevel="0" collapsed="false">
      <c r="A61" s="60" t="s">
        <v>1362</v>
      </c>
      <c r="B61" s="60" t="s">
        <v>218</v>
      </c>
      <c r="C61" s="60" t="s">
        <v>340</v>
      </c>
      <c r="D61" s="61" t="n">
        <v>227.4</v>
      </c>
      <c r="E61" s="62" t="n">
        <v>17.5</v>
      </c>
      <c r="F61" s="60" t="s">
        <v>391</v>
      </c>
    </row>
    <row r="62" customFormat="false" ht="15" hidden="false" customHeight="false" outlineLevel="0" collapsed="false">
      <c r="A62" s="60" t="s">
        <v>1363</v>
      </c>
      <c r="B62" s="60" t="s">
        <v>219</v>
      </c>
      <c r="C62" s="60" t="s">
        <v>341</v>
      </c>
      <c r="D62" s="61" t="n">
        <v>228.9</v>
      </c>
      <c r="E62" s="62" t="n">
        <v>17.6</v>
      </c>
      <c r="F62" s="60" t="s">
        <v>391</v>
      </c>
    </row>
    <row r="63" customFormat="false" ht="15" hidden="false" customHeight="false" outlineLevel="0" collapsed="false">
      <c r="A63" s="60" t="s">
        <v>1364</v>
      </c>
      <c r="B63" s="60" t="s">
        <v>218</v>
      </c>
      <c r="C63" s="60" t="s">
        <v>340</v>
      </c>
      <c r="D63" s="61" t="n">
        <v>229.8</v>
      </c>
      <c r="E63" s="62" t="n">
        <v>17.7</v>
      </c>
      <c r="F63" s="60" t="s">
        <v>391</v>
      </c>
    </row>
    <row r="64" customFormat="false" ht="15" hidden="false" customHeight="false" outlineLevel="0" collapsed="false">
      <c r="A64" s="60" t="s">
        <v>1365</v>
      </c>
      <c r="B64" s="60" t="s">
        <v>218</v>
      </c>
      <c r="C64" s="60" t="s">
        <v>340</v>
      </c>
      <c r="D64" s="61" t="n">
        <v>231.2</v>
      </c>
      <c r="E64" s="62" t="n">
        <v>17.8</v>
      </c>
      <c r="F64" s="60" t="s">
        <v>391</v>
      </c>
    </row>
    <row r="65" customFormat="false" ht="15" hidden="false" customHeight="false" outlineLevel="0" collapsed="false">
      <c r="A65" s="60" t="s">
        <v>1366</v>
      </c>
      <c r="B65" s="60" t="s">
        <v>218</v>
      </c>
      <c r="C65" s="60" t="s">
        <v>340</v>
      </c>
      <c r="D65" s="61" t="n">
        <v>240.8</v>
      </c>
      <c r="E65" s="62" t="n">
        <v>18.6</v>
      </c>
      <c r="F65" s="60" t="s">
        <v>391</v>
      </c>
    </row>
    <row r="66" customFormat="false" ht="15" hidden="false" customHeight="false" outlineLevel="0" collapsed="false">
      <c r="A66" s="60" t="s">
        <v>1367</v>
      </c>
      <c r="B66" s="60" t="s">
        <v>218</v>
      </c>
      <c r="C66" s="60" t="s">
        <v>340</v>
      </c>
      <c r="D66" s="61" t="n">
        <v>241</v>
      </c>
      <c r="E66" s="62" t="n">
        <v>18.6</v>
      </c>
      <c r="F66" s="60" t="s">
        <v>391</v>
      </c>
    </row>
    <row r="67" customFormat="false" ht="15" hidden="false" customHeight="false" outlineLevel="0" collapsed="false">
      <c r="A67" s="60" t="s">
        <v>1368</v>
      </c>
      <c r="B67" s="60" t="s">
        <v>218</v>
      </c>
      <c r="C67" s="60" t="s">
        <v>340</v>
      </c>
      <c r="D67" s="61" t="n">
        <v>241.6</v>
      </c>
      <c r="E67" s="62" t="n">
        <v>18.6</v>
      </c>
      <c r="F67" s="60" t="s">
        <v>391</v>
      </c>
    </row>
    <row r="68" customFormat="false" ht="15" hidden="false" customHeight="false" outlineLevel="0" collapsed="false">
      <c r="A68" s="60" t="s">
        <v>1369</v>
      </c>
      <c r="B68" s="60" t="s">
        <v>219</v>
      </c>
      <c r="C68" s="60" t="s">
        <v>341</v>
      </c>
      <c r="D68" s="61" t="n">
        <v>244</v>
      </c>
      <c r="E68" s="62" t="n">
        <v>18.8</v>
      </c>
      <c r="F68" s="60" t="s">
        <v>391</v>
      </c>
    </row>
    <row r="69" customFormat="false" ht="15" hidden="false" customHeight="false" outlineLevel="0" collapsed="false">
      <c r="A69" s="60" t="s">
        <v>1370</v>
      </c>
      <c r="B69" s="60" t="s">
        <v>218</v>
      </c>
      <c r="C69" s="60" t="s">
        <v>340</v>
      </c>
      <c r="D69" s="61" t="n">
        <v>245.6</v>
      </c>
      <c r="E69" s="62" t="n">
        <v>18.9</v>
      </c>
      <c r="F69" s="60" t="s">
        <v>391</v>
      </c>
    </row>
    <row r="70" customFormat="false" ht="15" hidden="false" customHeight="false" outlineLevel="0" collapsed="false">
      <c r="A70" s="60" t="s">
        <v>1371</v>
      </c>
      <c r="B70" s="60" t="s">
        <v>218</v>
      </c>
      <c r="C70" s="60" t="s">
        <v>340</v>
      </c>
      <c r="D70" s="61" t="n">
        <v>247.4</v>
      </c>
      <c r="E70" s="62" t="n">
        <v>19.1</v>
      </c>
      <c r="F70" s="60" t="s">
        <v>391</v>
      </c>
    </row>
    <row r="71" customFormat="false" ht="15" hidden="false" customHeight="false" outlineLevel="0" collapsed="false">
      <c r="A71" s="60" t="s">
        <v>1372</v>
      </c>
      <c r="B71" s="60" t="s">
        <v>218</v>
      </c>
      <c r="C71" s="60" t="s">
        <v>340</v>
      </c>
      <c r="D71" s="61" t="n">
        <v>247.6</v>
      </c>
      <c r="E71" s="62" t="n">
        <v>19.1</v>
      </c>
      <c r="F71" s="60" t="s">
        <v>391</v>
      </c>
    </row>
    <row r="72" customFormat="false" ht="15" hidden="false" customHeight="false" outlineLevel="0" collapsed="false">
      <c r="A72" s="60" t="s">
        <v>1373</v>
      </c>
      <c r="B72" s="60" t="s">
        <v>218</v>
      </c>
      <c r="C72" s="60" t="s">
        <v>340</v>
      </c>
      <c r="D72" s="61" t="n">
        <v>249.8</v>
      </c>
      <c r="E72" s="62" t="n">
        <v>19.3</v>
      </c>
      <c r="F72" s="60" t="s">
        <v>391</v>
      </c>
    </row>
    <row r="73" customFormat="false" ht="15" hidden="false" customHeight="false" outlineLevel="0" collapsed="false">
      <c r="A73" s="60" t="s">
        <v>1374</v>
      </c>
      <c r="B73" s="60" t="s">
        <v>218</v>
      </c>
      <c r="C73" s="60" t="s">
        <v>340</v>
      </c>
      <c r="D73" s="61" t="n">
        <v>251.4</v>
      </c>
      <c r="E73" s="62" t="n">
        <v>19.4</v>
      </c>
      <c r="F73" s="60" t="s">
        <v>391</v>
      </c>
    </row>
    <row r="74" customFormat="false" ht="15" hidden="false" customHeight="false" outlineLevel="0" collapsed="false">
      <c r="A74" s="60" t="s">
        <v>1375</v>
      </c>
      <c r="B74" s="60" t="s">
        <v>218</v>
      </c>
      <c r="C74" s="60" t="s">
        <v>340</v>
      </c>
      <c r="D74" s="61" t="n">
        <v>254.4</v>
      </c>
      <c r="E74" s="62" t="n">
        <v>19.6</v>
      </c>
      <c r="F74" s="60" t="s">
        <v>391</v>
      </c>
    </row>
    <row r="75" customFormat="false" ht="15" hidden="false" customHeight="false" outlineLevel="0" collapsed="false">
      <c r="A75" s="60" t="s">
        <v>1376</v>
      </c>
      <c r="B75" s="60" t="s">
        <v>218</v>
      </c>
      <c r="C75" s="60" t="s">
        <v>340</v>
      </c>
      <c r="D75" s="61" t="n">
        <v>255.6</v>
      </c>
      <c r="E75" s="62" t="n">
        <v>19.7</v>
      </c>
      <c r="F75" s="60" t="s">
        <v>391</v>
      </c>
    </row>
    <row r="76" customFormat="false" ht="15" hidden="false" customHeight="false" outlineLevel="0" collapsed="false">
      <c r="A76" s="60" t="s">
        <v>1377</v>
      </c>
      <c r="B76" s="60" t="s">
        <v>218</v>
      </c>
      <c r="C76" s="60" t="s">
        <v>340</v>
      </c>
      <c r="D76" s="61" t="n">
        <v>257.2</v>
      </c>
      <c r="E76" s="62" t="n">
        <v>19.8</v>
      </c>
      <c r="F76" s="60" t="s">
        <v>391</v>
      </c>
    </row>
    <row r="77" customFormat="false" ht="15" hidden="false" customHeight="false" outlineLevel="0" collapsed="false">
      <c r="A77" s="60" t="s">
        <v>1378</v>
      </c>
      <c r="B77" s="60" t="s">
        <v>218</v>
      </c>
      <c r="C77" s="60" t="s">
        <v>340</v>
      </c>
      <c r="D77" s="61" t="n">
        <v>257.6</v>
      </c>
      <c r="E77" s="62" t="n">
        <v>19.9</v>
      </c>
      <c r="F77" s="60" t="s">
        <v>391</v>
      </c>
    </row>
    <row r="78" customFormat="false" ht="15" hidden="false" customHeight="false" outlineLevel="0" collapsed="false">
      <c r="A78" s="60" t="s">
        <v>1379</v>
      </c>
      <c r="B78" s="60" t="s">
        <v>218</v>
      </c>
      <c r="C78" s="60" t="s">
        <v>340</v>
      </c>
      <c r="D78" s="61" t="n">
        <v>262.2</v>
      </c>
      <c r="E78" s="62" t="n">
        <v>20.2</v>
      </c>
      <c r="F78" s="60" t="s">
        <v>391</v>
      </c>
    </row>
    <row r="79" customFormat="false" ht="15" hidden="false" customHeight="false" outlineLevel="0" collapsed="false">
      <c r="A79" s="60" t="s">
        <v>1380</v>
      </c>
      <c r="B79" s="60" t="s">
        <v>218</v>
      </c>
      <c r="C79" s="60" t="s">
        <v>340</v>
      </c>
      <c r="D79" s="61" t="n">
        <v>262.2</v>
      </c>
      <c r="E79" s="62" t="n">
        <v>20.2</v>
      </c>
      <c r="F79" s="60" t="s">
        <v>391</v>
      </c>
    </row>
    <row r="80" customFormat="false" ht="15" hidden="false" customHeight="false" outlineLevel="0" collapsed="false">
      <c r="A80" s="60" t="s">
        <v>1381</v>
      </c>
      <c r="B80" s="60" t="s">
        <v>218</v>
      </c>
      <c r="C80" s="60" t="s">
        <v>340</v>
      </c>
      <c r="D80" s="61" t="n">
        <v>262.2</v>
      </c>
      <c r="E80" s="62" t="n">
        <v>20.2</v>
      </c>
      <c r="F80" s="60" t="s">
        <v>391</v>
      </c>
    </row>
    <row r="81" customFormat="false" ht="15" hidden="false" customHeight="false" outlineLevel="0" collapsed="false">
      <c r="A81" s="60" t="s">
        <v>1382</v>
      </c>
      <c r="B81" s="60" t="s">
        <v>218</v>
      </c>
      <c r="C81" s="60" t="s">
        <v>340</v>
      </c>
      <c r="D81" s="61" t="n">
        <v>262.8</v>
      </c>
      <c r="E81" s="62" t="n">
        <v>20.3</v>
      </c>
      <c r="F81" s="60" t="s">
        <v>391</v>
      </c>
    </row>
    <row r="82" customFormat="false" ht="15" hidden="false" customHeight="false" outlineLevel="0" collapsed="false">
      <c r="A82" s="60" t="s">
        <v>1383</v>
      </c>
      <c r="B82" s="60" t="s">
        <v>218</v>
      </c>
      <c r="C82" s="60" t="s">
        <v>340</v>
      </c>
      <c r="D82" s="61" t="n">
        <v>264.4</v>
      </c>
      <c r="E82" s="62" t="n">
        <v>20.4</v>
      </c>
      <c r="F82" s="60" t="s">
        <v>391</v>
      </c>
    </row>
    <row r="83" customFormat="false" ht="15" hidden="false" customHeight="false" outlineLevel="0" collapsed="false">
      <c r="A83" s="60" t="s">
        <v>1384</v>
      </c>
      <c r="B83" s="60" t="s">
        <v>218</v>
      </c>
      <c r="C83" s="60" t="s">
        <v>340</v>
      </c>
      <c r="D83" s="61" t="n">
        <v>265.6</v>
      </c>
      <c r="E83" s="62" t="n">
        <v>20.5</v>
      </c>
      <c r="F83" s="60" t="s">
        <v>391</v>
      </c>
    </row>
    <row r="84" customFormat="false" ht="15" hidden="false" customHeight="false" outlineLevel="0" collapsed="false">
      <c r="A84" s="60" t="s">
        <v>1385</v>
      </c>
      <c r="B84" s="60" t="s">
        <v>218</v>
      </c>
      <c r="C84" s="60" t="s">
        <v>340</v>
      </c>
      <c r="D84" s="61" t="n">
        <v>269</v>
      </c>
      <c r="E84" s="62" t="n">
        <v>20.7</v>
      </c>
      <c r="F84" s="60" t="s">
        <v>391</v>
      </c>
    </row>
    <row r="85" customFormat="false" ht="15" hidden="false" customHeight="false" outlineLevel="0" collapsed="false">
      <c r="A85" s="60" t="s">
        <v>1386</v>
      </c>
      <c r="B85" s="60" t="s">
        <v>218</v>
      </c>
      <c r="C85" s="60" t="s">
        <v>340</v>
      </c>
      <c r="D85" s="61" t="n">
        <v>269.2</v>
      </c>
      <c r="E85" s="62" t="n">
        <v>20.7</v>
      </c>
      <c r="F85" s="60" t="s">
        <v>391</v>
      </c>
    </row>
    <row r="86" customFormat="false" ht="15" hidden="false" customHeight="false" outlineLevel="0" collapsed="false">
      <c r="A86" s="60" t="s">
        <v>1387</v>
      </c>
      <c r="B86" s="60" t="s">
        <v>218</v>
      </c>
      <c r="C86" s="60" t="s">
        <v>340</v>
      </c>
      <c r="D86" s="61" t="n">
        <v>269.8</v>
      </c>
      <c r="E86" s="62" t="n">
        <v>20.8</v>
      </c>
      <c r="F86" s="60" t="s">
        <v>391</v>
      </c>
    </row>
    <row r="87" customFormat="false" ht="15" hidden="false" customHeight="false" outlineLevel="0" collapsed="false">
      <c r="A87" s="60" t="s">
        <v>1388</v>
      </c>
      <c r="B87" s="60" t="s">
        <v>218</v>
      </c>
      <c r="C87" s="60" t="s">
        <v>340</v>
      </c>
      <c r="D87" s="61" t="n">
        <v>270</v>
      </c>
      <c r="E87" s="62" t="n">
        <v>20.8</v>
      </c>
      <c r="F87" s="60" t="s">
        <v>391</v>
      </c>
    </row>
    <row r="88" customFormat="false" ht="15" hidden="false" customHeight="false" outlineLevel="0" collapsed="false">
      <c r="A88" s="60" t="s">
        <v>1389</v>
      </c>
      <c r="B88" s="60" t="s">
        <v>218</v>
      </c>
      <c r="C88" s="60" t="s">
        <v>340</v>
      </c>
      <c r="D88" s="61" t="n">
        <v>270.6</v>
      </c>
      <c r="E88" s="62" t="n">
        <v>20.9</v>
      </c>
      <c r="F88" s="60" t="s">
        <v>391</v>
      </c>
    </row>
    <row r="89" customFormat="false" ht="15" hidden="false" customHeight="false" outlineLevel="0" collapsed="false">
      <c r="A89" s="60" t="s">
        <v>1390</v>
      </c>
      <c r="B89" s="60" t="s">
        <v>218</v>
      </c>
      <c r="C89" s="60" t="s">
        <v>340</v>
      </c>
      <c r="D89" s="61" t="n">
        <v>272</v>
      </c>
      <c r="E89" s="62" t="n">
        <v>21</v>
      </c>
      <c r="F89" s="60" t="s">
        <v>391</v>
      </c>
    </row>
    <row r="90" customFormat="false" ht="15" hidden="false" customHeight="false" outlineLevel="0" collapsed="false">
      <c r="A90" s="60" t="s">
        <v>1391</v>
      </c>
      <c r="B90" s="60" t="s">
        <v>218</v>
      </c>
      <c r="C90" s="60" t="s">
        <v>340</v>
      </c>
      <c r="D90" s="61" t="n">
        <v>272.4</v>
      </c>
      <c r="E90" s="62" t="n">
        <v>21</v>
      </c>
      <c r="F90" s="60" t="s">
        <v>391</v>
      </c>
    </row>
    <row r="91" customFormat="false" ht="15" hidden="false" customHeight="false" outlineLevel="0" collapsed="false">
      <c r="A91" s="60" t="s">
        <v>1392</v>
      </c>
      <c r="B91" s="60" t="s">
        <v>218</v>
      </c>
      <c r="C91" s="60" t="s">
        <v>340</v>
      </c>
      <c r="D91" s="61" t="n">
        <v>276</v>
      </c>
      <c r="E91" s="62" t="n">
        <v>21.3</v>
      </c>
      <c r="F91" s="60" t="s">
        <v>391</v>
      </c>
    </row>
    <row r="92" customFormat="false" ht="15" hidden="false" customHeight="false" outlineLevel="0" collapsed="false">
      <c r="A92" s="60" t="s">
        <v>1393</v>
      </c>
      <c r="B92" s="60" t="s">
        <v>218</v>
      </c>
      <c r="C92" s="60" t="s">
        <v>340</v>
      </c>
      <c r="D92" s="61" t="n">
        <v>281.2</v>
      </c>
      <c r="E92" s="62" t="n">
        <v>21.7</v>
      </c>
      <c r="F92" s="60" t="s">
        <v>391</v>
      </c>
    </row>
    <row r="93" customFormat="false" ht="15" hidden="false" customHeight="false" outlineLevel="0" collapsed="false">
      <c r="A93" s="60" t="s">
        <v>1394</v>
      </c>
      <c r="B93" s="60" t="s">
        <v>218</v>
      </c>
      <c r="C93" s="60" t="s">
        <v>340</v>
      </c>
      <c r="D93" s="61" t="n">
        <v>290.8</v>
      </c>
      <c r="E93" s="62" t="n">
        <v>22.4</v>
      </c>
      <c r="F93" s="60" t="s">
        <v>391</v>
      </c>
    </row>
    <row r="94" customFormat="false" ht="15" hidden="false" customHeight="false" outlineLevel="0" collapsed="false">
      <c r="A94" s="60" t="s">
        <v>1395</v>
      </c>
      <c r="B94" s="60" t="s">
        <v>218</v>
      </c>
      <c r="C94" s="60" t="s">
        <v>340</v>
      </c>
      <c r="D94" s="61" t="n">
        <v>291</v>
      </c>
      <c r="E94" s="62" t="n">
        <v>22.4</v>
      </c>
      <c r="F94" s="60" t="s">
        <v>391</v>
      </c>
    </row>
  </sheetData>
  <mergeCells count="8">
    <mergeCell ref="A1:F1"/>
    <mergeCell ref="A10:F10"/>
    <mergeCell ref="A11:F11"/>
    <mergeCell ref="A12:F12"/>
    <mergeCell ref="A13:F13"/>
    <mergeCell ref="A14:F14"/>
    <mergeCell ref="A15:F15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1396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4699.3</v>
      </c>
    </row>
    <row r="4" customFormat="false" ht="15" hidden="false" customHeight="false" outlineLevel="0" collapsed="false">
      <c r="A4" s="39" t="s">
        <v>134</v>
      </c>
      <c r="B4" s="0" t="n">
        <v>53</v>
      </c>
    </row>
    <row r="5" customFormat="false" ht="15" hidden="false" customHeight="false" outlineLevel="0" collapsed="false">
      <c r="A5" s="39" t="s">
        <v>368</v>
      </c>
      <c r="B5" s="53" t="s">
        <v>1397</v>
      </c>
    </row>
    <row r="6" customFormat="false" ht="15" hidden="false" customHeight="false" outlineLevel="0" collapsed="false">
      <c r="A6" s="39" t="s">
        <v>370</v>
      </c>
      <c r="B6" s="54" t="n">
        <v>7.04730587332768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0.140946117466554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1398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1399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1400</v>
      </c>
      <c r="B13" s="58"/>
      <c r="C13" s="58"/>
      <c r="D13" s="58"/>
      <c r="E13" s="58"/>
      <c r="F13" s="58"/>
    </row>
    <row r="14" customFormat="false" ht="34.5" hidden="false" customHeight="true" outlineLevel="0" collapsed="false">
      <c r="A14" s="58" t="s">
        <v>1401</v>
      </c>
      <c r="B14" s="58"/>
      <c r="C14" s="58"/>
      <c r="D14" s="58"/>
      <c r="E14" s="58"/>
      <c r="F14" s="58"/>
    </row>
    <row r="16" customFormat="false" ht="15" hidden="false" customHeight="false" outlineLevel="0" collapsed="false">
      <c r="A16" s="59" t="s">
        <v>378</v>
      </c>
    </row>
    <row r="17" customFormat="false" ht="26.85" hidden="false" customHeight="false" outlineLevel="0" collapsed="false">
      <c r="A17" s="6" t="s">
        <v>210</v>
      </c>
      <c r="B17" s="6" t="s">
        <v>134</v>
      </c>
      <c r="C17" s="6" t="s">
        <v>132</v>
      </c>
      <c r="D17" s="6" t="s">
        <v>379</v>
      </c>
      <c r="E17" s="6" t="s">
        <v>380</v>
      </c>
    </row>
    <row r="18" customFormat="false" ht="15" hidden="false" customHeight="false" outlineLevel="0" collapsed="false">
      <c r="A18" s="63" t="s">
        <v>270</v>
      </c>
      <c r="B18" s="63" t="n">
        <v>16</v>
      </c>
      <c r="C18" s="64" t="n">
        <v>2528.1</v>
      </c>
      <c r="D18" s="65" t="n">
        <v>158</v>
      </c>
      <c r="E18" s="65" t="n">
        <v>12.6</v>
      </c>
    </row>
    <row r="19" customFormat="false" ht="15" hidden="false" customHeight="false" outlineLevel="0" collapsed="false">
      <c r="A19" s="63" t="s">
        <v>271</v>
      </c>
      <c r="B19" s="63" t="n">
        <v>24</v>
      </c>
      <c r="C19" s="64" t="n">
        <v>1821.4</v>
      </c>
      <c r="D19" s="65" t="n">
        <v>75.9</v>
      </c>
      <c r="E19" s="65" t="n">
        <v>6</v>
      </c>
    </row>
    <row r="20" customFormat="false" ht="15" hidden="false" customHeight="false" outlineLevel="0" collapsed="false">
      <c r="A20" s="63" t="s">
        <v>272</v>
      </c>
      <c r="B20" s="63" t="n">
        <v>13</v>
      </c>
      <c r="C20" s="64" t="n">
        <v>349.8</v>
      </c>
      <c r="D20" s="65" t="n">
        <v>26.9</v>
      </c>
      <c r="E20" s="65" t="n">
        <v>2.1</v>
      </c>
    </row>
    <row r="22" customFormat="false" ht="15" hidden="false" customHeight="false" outlineLevel="0" collapsed="false">
      <c r="A22" s="59" t="s">
        <v>381</v>
      </c>
    </row>
    <row r="23" customFormat="false" ht="26.85" hidden="false" customHeight="false" outlineLevel="0" collapsed="false">
      <c r="A23" s="6" t="s">
        <v>161</v>
      </c>
      <c r="B23" s="6" t="s">
        <v>162</v>
      </c>
      <c r="C23" s="6" t="s">
        <v>163</v>
      </c>
      <c r="D23" s="6" t="s">
        <v>382</v>
      </c>
      <c r="E23" s="6" t="s">
        <v>383</v>
      </c>
      <c r="F23" s="6" t="s">
        <v>384</v>
      </c>
    </row>
    <row r="24" customFormat="false" ht="15" hidden="false" customHeight="false" outlineLevel="0" collapsed="false">
      <c r="A24" s="66" t="s">
        <v>174</v>
      </c>
      <c r="B24" s="67" t="n">
        <v>42429</v>
      </c>
      <c r="C24" s="67" t="n">
        <v>1577</v>
      </c>
      <c r="D24" s="68" t="n">
        <v>0</v>
      </c>
      <c r="E24" s="68" t="n">
        <v>0.959</v>
      </c>
      <c r="F24" s="69" t="n">
        <v>0.6</v>
      </c>
    </row>
    <row r="25" customFormat="false" ht="15" hidden="false" customHeight="false" outlineLevel="0" collapsed="false">
      <c r="A25" s="66" t="s">
        <v>175</v>
      </c>
      <c r="B25" s="67" t="n">
        <v>7110</v>
      </c>
      <c r="C25" s="67" t="n">
        <v>0</v>
      </c>
      <c r="D25" s="68" t="n">
        <v>0.129</v>
      </c>
      <c r="E25" s="68" t="n">
        <v>0.877</v>
      </c>
      <c r="F25" s="69" t="n">
        <v>1.2</v>
      </c>
    </row>
    <row r="26" customFormat="false" ht="15" hidden="false" customHeight="false" outlineLevel="0" collapsed="false">
      <c r="A26" s="66" t="s">
        <v>43</v>
      </c>
      <c r="B26" s="67" t="n">
        <v>7061</v>
      </c>
      <c r="C26" s="67" t="n">
        <v>1216</v>
      </c>
      <c r="D26" s="68" t="n">
        <v>0</v>
      </c>
      <c r="E26" s="68" t="n">
        <v>0</v>
      </c>
      <c r="F26" s="69" t="n">
        <v>0</v>
      </c>
    </row>
    <row r="27" customFormat="false" ht="15" hidden="false" customHeight="false" outlineLevel="0" collapsed="false">
      <c r="A27" s="66" t="s">
        <v>49</v>
      </c>
      <c r="B27" s="67" t="n">
        <v>2286</v>
      </c>
      <c r="C27" s="67" t="n">
        <v>0</v>
      </c>
      <c r="D27" s="68" t="n">
        <v>0</v>
      </c>
      <c r="E27" s="68" t="n">
        <v>0</v>
      </c>
      <c r="F27" s="69" t="n">
        <v>0</v>
      </c>
    </row>
    <row r="28" customFormat="false" ht="15" hidden="false" customHeight="false" outlineLevel="0" collapsed="false">
      <c r="A28" s="66" t="s">
        <v>47</v>
      </c>
      <c r="B28" s="67" t="n">
        <v>430</v>
      </c>
      <c r="C28" s="67" t="n">
        <v>2</v>
      </c>
      <c r="D28" s="68" t="n">
        <v>0</v>
      </c>
      <c r="E28" s="68" t="n">
        <v>0</v>
      </c>
      <c r="F28" s="69" t="n">
        <v>0</v>
      </c>
    </row>
    <row r="29" customFormat="false" ht="15" hidden="false" customHeight="false" outlineLevel="0" collapsed="false">
      <c r="A29" s="66" t="s">
        <v>45</v>
      </c>
      <c r="B29" s="67" t="n">
        <v>304</v>
      </c>
      <c r="C29" s="67" t="n">
        <v>123</v>
      </c>
      <c r="D29" s="68" t="n">
        <v>0</v>
      </c>
      <c r="E29" s="68" t="n">
        <v>0</v>
      </c>
      <c r="F29" s="69" t="n">
        <v>0</v>
      </c>
    </row>
    <row r="31" customFormat="false" ht="15" hidden="false" customHeight="false" outlineLevel="0" collapsed="false">
      <c r="A31" s="70" t="s">
        <v>385</v>
      </c>
      <c r="B31" s="70"/>
      <c r="C31" s="70"/>
      <c r="D31" s="70"/>
      <c r="E31" s="70"/>
      <c r="F31" s="70"/>
    </row>
    <row r="32" customFormat="false" ht="15" hidden="false" customHeight="false" outlineLevel="0" collapsed="false">
      <c r="A32" s="6" t="s">
        <v>275</v>
      </c>
      <c r="B32" s="6" t="s">
        <v>386</v>
      </c>
      <c r="C32" s="6" t="s">
        <v>276</v>
      </c>
      <c r="D32" s="6" t="s">
        <v>132</v>
      </c>
      <c r="E32" s="6" t="s">
        <v>387</v>
      </c>
      <c r="F32" s="6" t="s">
        <v>75</v>
      </c>
    </row>
    <row r="33" customFormat="false" ht="15" hidden="false" customHeight="false" outlineLevel="0" collapsed="false">
      <c r="A33" s="77" t="s">
        <v>492</v>
      </c>
      <c r="B33" s="77" t="s">
        <v>272</v>
      </c>
      <c r="C33" s="77" t="s">
        <v>341</v>
      </c>
      <c r="D33" s="78" t="n">
        <v>0</v>
      </c>
      <c r="E33" s="79" t="n">
        <v>0</v>
      </c>
      <c r="F33" s="77" t="s">
        <v>531</v>
      </c>
    </row>
    <row r="34" customFormat="false" ht="15" hidden="false" customHeight="false" outlineLevel="0" collapsed="false">
      <c r="A34" s="77" t="s">
        <v>1402</v>
      </c>
      <c r="B34" s="77" t="s">
        <v>270</v>
      </c>
      <c r="C34" s="77" t="s">
        <v>341</v>
      </c>
      <c r="D34" s="78" t="n">
        <v>0</v>
      </c>
      <c r="E34" s="79" t="n">
        <v>0</v>
      </c>
      <c r="F34" s="77" t="s">
        <v>531</v>
      </c>
    </row>
    <row r="35" customFormat="false" ht="15" hidden="false" customHeight="false" outlineLevel="0" collapsed="false">
      <c r="A35" s="77" t="s">
        <v>968</v>
      </c>
      <c r="B35" s="77" t="s">
        <v>271</v>
      </c>
      <c r="C35" s="77" t="s">
        <v>341</v>
      </c>
      <c r="D35" s="78" t="n">
        <v>0</v>
      </c>
      <c r="E35" s="79" t="n">
        <v>0</v>
      </c>
      <c r="F35" s="77" t="s">
        <v>531</v>
      </c>
    </row>
    <row r="36" customFormat="false" ht="15" hidden="false" customHeight="false" outlineLevel="0" collapsed="false">
      <c r="A36" s="77" t="s">
        <v>1017</v>
      </c>
      <c r="B36" s="77" t="s">
        <v>271</v>
      </c>
      <c r="C36" s="77" t="s">
        <v>341</v>
      </c>
      <c r="D36" s="78" t="n">
        <v>0</v>
      </c>
      <c r="E36" s="79" t="n">
        <v>0</v>
      </c>
      <c r="F36" s="77" t="s">
        <v>531</v>
      </c>
    </row>
    <row r="37" customFormat="false" ht="15" hidden="false" customHeight="false" outlineLevel="0" collapsed="false">
      <c r="A37" s="77" t="s">
        <v>1008</v>
      </c>
      <c r="B37" s="77" t="s">
        <v>271</v>
      </c>
      <c r="C37" s="77" t="s">
        <v>341</v>
      </c>
      <c r="D37" s="78" t="n">
        <v>0</v>
      </c>
      <c r="E37" s="79" t="n">
        <v>0</v>
      </c>
      <c r="F37" s="77" t="s">
        <v>531</v>
      </c>
    </row>
    <row r="38" customFormat="false" ht="15" hidden="false" customHeight="false" outlineLevel="0" collapsed="false">
      <c r="A38" s="77" t="s">
        <v>993</v>
      </c>
      <c r="B38" s="77" t="s">
        <v>271</v>
      </c>
      <c r="C38" s="77" t="s">
        <v>341</v>
      </c>
      <c r="D38" s="78" t="n">
        <v>0</v>
      </c>
      <c r="E38" s="79" t="n">
        <v>0</v>
      </c>
      <c r="F38" s="77" t="s">
        <v>531</v>
      </c>
    </row>
    <row r="39" customFormat="false" ht="15" hidden="false" customHeight="false" outlineLevel="0" collapsed="false">
      <c r="A39" s="77" t="s">
        <v>980</v>
      </c>
      <c r="B39" s="77" t="s">
        <v>271</v>
      </c>
      <c r="C39" s="77" t="s">
        <v>341</v>
      </c>
      <c r="D39" s="78" t="n">
        <v>0</v>
      </c>
      <c r="E39" s="79" t="n">
        <v>0</v>
      </c>
      <c r="F39" s="77" t="s">
        <v>531</v>
      </c>
    </row>
    <row r="40" customFormat="false" ht="15" hidden="false" customHeight="false" outlineLevel="0" collapsed="false">
      <c r="A40" s="77" t="s">
        <v>1014</v>
      </c>
      <c r="B40" s="77" t="s">
        <v>271</v>
      </c>
      <c r="C40" s="77" t="s">
        <v>341</v>
      </c>
      <c r="D40" s="78" t="n">
        <v>0</v>
      </c>
      <c r="E40" s="79" t="n">
        <v>0</v>
      </c>
      <c r="F40" s="77" t="s">
        <v>531</v>
      </c>
    </row>
    <row r="41" customFormat="false" ht="15" hidden="false" customHeight="false" outlineLevel="0" collapsed="false">
      <c r="A41" s="60" t="s">
        <v>1403</v>
      </c>
      <c r="B41" s="60" t="s">
        <v>272</v>
      </c>
      <c r="C41" s="60" t="s">
        <v>346</v>
      </c>
      <c r="D41" s="61" t="n">
        <v>0.9</v>
      </c>
      <c r="E41" s="62" t="n">
        <v>0.1</v>
      </c>
      <c r="F41" s="60" t="s">
        <v>391</v>
      </c>
    </row>
    <row r="42" customFormat="false" ht="15" hidden="false" customHeight="false" outlineLevel="0" collapsed="false">
      <c r="A42" s="60" t="s">
        <v>1404</v>
      </c>
      <c r="B42" s="60" t="s">
        <v>272</v>
      </c>
      <c r="C42" s="60" t="s">
        <v>343</v>
      </c>
      <c r="D42" s="61" t="n">
        <v>1.3</v>
      </c>
      <c r="E42" s="62" t="n">
        <v>0.1</v>
      </c>
      <c r="F42" s="60" t="s">
        <v>391</v>
      </c>
    </row>
    <row r="43" customFormat="false" ht="15" hidden="false" customHeight="false" outlineLevel="0" collapsed="false">
      <c r="A43" s="60" t="s">
        <v>1405</v>
      </c>
      <c r="B43" s="60" t="s">
        <v>270</v>
      </c>
      <c r="C43" s="60" t="s">
        <v>339</v>
      </c>
      <c r="D43" s="61" t="n">
        <v>10.2</v>
      </c>
      <c r="E43" s="62" t="n">
        <v>0.8</v>
      </c>
      <c r="F43" s="60" t="s">
        <v>391</v>
      </c>
    </row>
    <row r="44" customFormat="false" ht="15" hidden="false" customHeight="false" outlineLevel="0" collapsed="false">
      <c r="A44" s="60" t="s">
        <v>1406</v>
      </c>
      <c r="B44" s="60" t="s">
        <v>271</v>
      </c>
      <c r="C44" s="60" t="s">
        <v>345</v>
      </c>
      <c r="D44" s="61" t="n">
        <v>14.2</v>
      </c>
      <c r="E44" s="62" t="n">
        <v>1.1</v>
      </c>
      <c r="F44" s="60" t="s">
        <v>391</v>
      </c>
    </row>
    <row r="45" customFormat="false" ht="15" hidden="false" customHeight="false" outlineLevel="0" collapsed="false">
      <c r="A45" s="60" t="s">
        <v>1407</v>
      </c>
      <c r="B45" s="60" t="s">
        <v>271</v>
      </c>
      <c r="C45" s="60" t="s">
        <v>346</v>
      </c>
      <c r="D45" s="61" t="n">
        <v>18.2</v>
      </c>
      <c r="E45" s="62" t="n">
        <v>1.4</v>
      </c>
      <c r="F45" s="60" t="s">
        <v>391</v>
      </c>
    </row>
    <row r="46" customFormat="false" ht="15" hidden="false" customHeight="false" outlineLevel="0" collapsed="false">
      <c r="A46" s="60" t="s">
        <v>1408</v>
      </c>
      <c r="B46" s="60" t="s">
        <v>272</v>
      </c>
      <c r="C46" s="60" t="s">
        <v>341</v>
      </c>
      <c r="D46" s="61" t="n">
        <v>19.1</v>
      </c>
      <c r="E46" s="62" t="n">
        <v>1.5</v>
      </c>
      <c r="F46" s="60" t="s">
        <v>391</v>
      </c>
    </row>
    <row r="47" customFormat="false" ht="15" hidden="false" customHeight="false" outlineLevel="0" collapsed="false">
      <c r="A47" s="60" t="s">
        <v>1409</v>
      </c>
      <c r="B47" s="60" t="s">
        <v>272</v>
      </c>
      <c r="C47" s="60" t="s">
        <v>343</v>
      </c>
      <c r="D47" s="61" t="n">
        <v>27.6</v>
      </c>
      <c r="E47" s="62" t="n">
        <v>2.2</v>
      </c>
      <c r="F47" s="60" t="s">
        <v>391</v>
      </c>
    </row>
    <row r="48" customFormat="false" ht="15" hidden="false" customHeight="false" outlineLevel="0" collapsed="false">
      <c r="A48" s="60" t="s">
        <v>1410</v>
      </c>
      <c r="B48" s="60" t="s">
        <v>272</v>
      </c>
      <c r="C48" s="60" t="s">
        <v>343</v>
      </c>
      <c r="D48" s="61" t="n">
        <v>28</v>
      </c>
      <c r="E48" s="62" t="n">
        <v>2.2</v>
      </c>
      <c r="F48" s="60" t="s">
        <v>391</v>
      </c>
    </row>
    <row r="49" customFormat="false" ht="15" hidden="false" customHeight="false" outlineLevel="0" collapsed="false">
      <c r="A49" s="60" t="s">
        <v>1411</v>
      </c>
      <c r="B49" s="60" t="s">
        <v>272</v>
      </c>
      <c r="C49" s="60" t="s">
        <v>343</v>
      </c>
      <c r="D49" s="61" t="n">
        <v>32.2</v>
      </c>
      <c r="E49" s="62" t="n">
        <v>2.6</v>
      </c>
      <c r="F49" s="60" t="s">
        <v>391</v>
      </c>
    </row>
    <row r="50" customFormat="false" ht="15" hidden="false" customHeight="false" outlineLevel="0" collapsed="false">
      <c r="A50" s="60" t="s">
        <v>1412</v>
      </c>
      <c r="B50" s="60" t="s">
        <v>272</v>
      </c>
      <c r="C50" s="60" t="s">
        <v>343</v>
      </c>
      <c r="D50" s="61" t="n">
        <v>36.4</v>
      </c>
      <c r="E50" s="62" t="n">
        <v>2.9</v>
      </c>
      <c r="F50" s="60" t="s">
        <v>391</v>
      </c>
    </row>
    <row r="51" customFormat="false" ht="15" hidden="false" customHeight="false" outlineLevel="0" collapsed="false">
      <c r="A51" s="60" t="s">
        <v>1413</v>
      </c>
      <c r="B51" s="60" t="s">
        <v>272</v>
      </c>
      <c r="C51" s="60" t="s">
        <v>343</v>
      </c>
      <c r="D51" s="61" t="n">
        <v>39.4</v>
      </c>
      <c r="E51" s="62" t="n">
        <v>3.1</v>
      </c>
      <c r="F51" s="60" t="s">
        <v>391</v>
      </c>
    </row>
    <row r="52" customFormat="false" ht="15" hidden="false" customHeight="false" outlineLevel="0" collapsed="false">
      <c r="A52" s="60" t="s">
        <v>1414</v>
      </c>
      <c r="B52" s="60" t="s">
        <v>272</v>
      </c>
      <c r="C52" s="60" t="s">
        <v>341</v>
      </c>
      <c r="D52" s="61" t="n">
        <v>39.8</v>
      </c>
      <c r="E52" s="62" t="n">
        <v>3.2</v>
      </c>
      <c r="F52" s="60" t="s">
        <v>391</v>
      </c>
    </row>
    <row r="53" customFormat="false" ht="15" hidden="false" customHeight="false" outlineLevel="0" collapsed="false">
      <c r="A53" s="60" t="s">
        <v>1415</v>
      </c>
      <c r="B53" s="60" t="s">
        <v>272</v>
      </c>
      <c r="C53" s="60" t="s">
        <v>351</v>
      </c>
      <c r="D53" s="61" t="n">
        <v>40.6</v>
      </c>
      <c r="E53" s="62" t="n">
        <v>3.2</v>
      </c>
      <c r="F53" s="60" t="s">
        <v>391</v>
      </c>
    </row>
    <row r="54" customFormat="false" ht="15" hidden="false" customHeight="false" outlineLevel="0" collapsed="false">
      <c r="A54" s="60" t="s">
        <v>1416</v>
      </c>
      <c r="B54" s="60" t="s">
        <v>272</v>
      </c>
      <c r="C54" s="60" t="s">
        <v>343</v>
      </c>
      <c r="D54" s="61" t="n">
        <v>40.6</v>
      </c>
      <c r="E54" s="62" t="n">
        <v>3.2</v>
      </c>
      <c r="F54" s="60" t="s">
        <v>391</v>
      </c>
    </row>
    <row r="55" customFormat="false" ht="15" hidden="false" customHeight="false" outlineLevel="0" collapsed="false">
      <c r="A55" s="60" t="s">
        <v>1417</v>
      </c>
      <c r="B55" s="60" t="s">
        <v>270</v>
      </c>
      <c r="C55" s="60" t="s">
        <v>346</v>
      </c>
      <c r="D55" s="61" t="n">
        <v>43.5</v>
      </c>
      <c r="E55" s="62" t="n">
        <v>3.5</v>
      </c>
      <c r="F55" s="60" t="s">
        <v>391</v>
      </c>
    </row>
    <row r="56" customFormat="false" ht="15" hidden="false" customHeight="false" outlineLevel="0" collapsed="false">
      <c r="A56" s="60" t="s">
        <v>1418</v>
      </c>
      <c r="B56" s="60" t="s">
        <v>272</v>
      </c>
      <c r="C56" s="60" t="s">
        <v>343</v>
      </c>
      <c r="D56" s="61" t="n">
        <v>43.9</v>
      </c>
      <c r="E56" s="62" t="n">
        <v>3.5</v>
      </c>
      <c r="F56" s="60" t="s">
        <v>391</v>
      </c>
    </row>
    <row r="57" customFormat="false" ht="15" hidden="false" customHeight="false" outlineLevel="0" collapsed="false">
      <c r="A57" s="60" t="s">
        <v>1419</v>
      </c>
      <c r="B57" s="60" t="s">
        <v>271</v>
      </c>
      <c r="C57" s="60" t="s">
        <v>346</v>
      </c>
      <c r="D57" s="61" t="n">
        <v>67.5</v>
      </c>
      <c r="E57" s="62" t="n">
        <v>5.4</v>
      </c>
      <c r="F57" s="60" t="s">
        <v>391</v>
      </c>
    </row>
    <row r="58" customFormat="false" ht="15" hidden="false" customHeight="false" outlineLevel="0" collapsed="false">
      <c r="A58" s="60" t="s">
        <v>1420</v>
      </c>
      <c r="B58" s="60" t="s">
        <v>271</v>
      </c>
      <c r="C58" s="60" t="s">
        <v>346</v>
      </c>
      <c r="D58" s="61" t="n">
        <v>68.8</v>
      </c>
      <c r="E58" s="62" t="n">
        <v>5.5</v>
      </c>
      <c r="F58" s="60" t="s">
        <v>391</v>
      </c>
    </row>
    <row r="59" customFormat="false" ht="15" hidden="false" customHeight="false" outlineLevel="0" collapsed="false">
      <c r="A59" s="60" t="s">
        <v>1421</v>
      </c>
      <c r="B59" s="60" t="s">
        <v>271</v>
      </c>
      <c r="C59" s="60" t="s">
        <v>341</v>
      </c>
      <c r="D59" s="61" t="n">
        <v>73.9</v>
      </c>
      <c r="E59" s="62" t="n">
        <v>5.9</v>
      </c>
      <c r="F59" s="60" t="s">
        <v>391</v>
      </c>
    </row>
    <row r="60" customFormat="false" ht="15" hidden="false" customHeight="false" outlineLevel="0" collapsed="false">
      <c r="A60" s="60" t="s">
        <v>1422</v>
      </c>
      <c r="B60" s="60" t="s">
        <v>271</v>
      </c>
      <c r="C60" s="60" t="s">
        <v>346</v>
      </c>
      <c r="D60" s="61" t="n">
        <v>78.8</v>
      </c>
      <c r="E60" s="62" t="n">
        <v>6.3</v>
      </c>
      <c r="F60" s="60" t="s">
        <v>391</v>
      </c>
    </row>
    <row r="61" customFormat="false" ht="15" hidden="false" customHeight="false" outlineLevel="0" collapsed="false">
      <c r="A61" s="60" t="s">
        <v>1423</v>
      </c>
      <c r="B61" s="60" t="s">
        <v>270</v>
      </c>
      <c r="C61" s="60" t="s">
        <v>339</v>
      </c>
      <c r="D61" s="61" t="n">
        <v>82.7</v>
      </c>
      <c r="E61" s="62" t="n">
        <v>6.6</v>
      </c>
      <c r="F61" s="60" t="s">
        <v>391</v>
      </c>
    </row>
    <row r="62" customFormat="false" ht="15" hidden="false" customHeight="false" outlineLevel="0" collapsed="false">
      <c r="A62" s="60" t="s">
        <v>1424</v>
      </c>
      <c r="B62" s="60" t="s">
        <v>271</v>
      </c>
      <c r="C62" s="60" t="s">
        <v>339</v>
      </c>
      <c r="D62" s="61" t="n">
        <v>85.2</v>
      </c>
      <c r="E62" s="62" t="n">
        <v>6.8</v>
      </c>
      <c r="F62" s="60" t="s">
        <v>391</v>
      </c>
    </row>
    <row r="63" customFormat="false" ht="15" hidden="false" customHeight="false" outlineLevel="0" collapsed="false">
      <c r="A63" s="60" t="s">
        <v>1425</v>
      </c>
      <c r="B63" s="60" t="s">
        <v>270</v>
      </c>
      <c r="C63" s="60" t="s">
        <v>339</v>
      </c>
      <c r="D63" s="61" t="n">
        <v>86</v>
      </c>
      <c r="E63" s="62" t="n">
        <v>6.8</v>
      </c>
      <c r="F63" s="60" t="s">
        <v>391</v>
      </c>
    </row>
    <row r="64" customFormat="false" ht="15" hidden="false" customHeight="false" outlineLevel="0" collapsed="false">
      <c r="A64" s="60" t="s">
        <v>1426</v>
      </c>
      <c r="B64" s="60" t="s">
        <v>271</v>
      </c>
      <c r="C64" s="60" t="s">
        <v>339</v>
      </c>
      <c r="D64" s="61" t="n">
        <v>88.8</v>
      </c>
      <c r="E64" s="62" t="n">
        <v>7.1</v>
      </c>
      <c r="F64" s="60" t="s">
        <v>391</v>
      </c>
    </row>
    <row r="65" customFormat="false" ht="15" hidden="false" customHeight="false" outlineLevel="0" collapsed="false">
      <c r="A65" s="60" t="s">
        <v>1427</v>
      </c>
      <c r="B65" s="60" t="s">
        <v>271</v>
      </c>
      <c r="C65" s="60" t="s">
        <v>346</v>
      </c>
      <c r="D65" s="61" t="n">
        <v>93.4</v>
      </c>
      <c r="E65" s="62" t="n">
        <v>7.4</v>
      </c>
      <c r="F65" s="60" t="s">
        <v>391</v>
      </c>
    </row>
    <row r="66" customFormat="false" ht="15" hidden="false" customHeight="false" outlineLevel="0" collapsed="false">
      <c r="A66" s="60" t="s">
        <v>1428</v>
      </c>
      <c r="B66" s="60" t="s">
        <v>270</v>
      </c>
      <c r="C66" s="60" t="s">
        <v>339</v>
      </c>
      <c r="D66" s="61" t="n">
        <v>103</v>
      </c>
      <c r="E66" s="62" t="n">
        <v>8.2</v>
      </c>
      <c r="F66" s="60" t="s">
        <v>391</v>
      </c>
    </row>
    <row r="67" customFormat="false" ht="15" hidden="false" customHeight="false" outlineLevel="0" collapsed="false">
      <c r="A67" s="60" t="s">
        <v>1429</v>
      </c>
      <c r="B67" s="60" t="s">
        <v>271</v>
      </c>
      <c r="C67" s="60" t="s">
        <v>346</v>
      </c>
      <c r="D67" s="61" t="n">
        <v>106.5</v>
      </c>
      <c r="E67" s="62" t="n">
        <v>8.5</v>
      </c>
      <c r="F67" s="60" t="s">
        <v>391</v>
      </c>
    </row>
    <row r="68" customFormat="false" ht="15" hidden="false" customHeight="false" outlineLevel="0" collapsed="false">
      <c r="A68" s="60" t="s">
        <v>1430</v>
      </c>
      <c r="B68" s="60" t="s">
        <v>271</v>
      </c>
      <c r="C68" s="60" t="s">
        <v>346</v>
      </c>
      <c r="D68" s="61" t="n">
        <v>110.4</v>
      </c>
      <c r="E68" s="62" t="n">
        <v>8.8</v>
      </c>
      <c r="F68" s="60" t="s">
        <v>391</v>
      </c>
    </row>
    <row r="69" customFormat="false" ht="15" hidden="false" customHeight="false" outlineLevel="0" collapsed="false">
      <c r="A69" s="60" t="s">
        <v>1431</v>
      </c>
      <c r="B69" s="60" t="s">
        <v>271</v>
      </c>
      <c r="C69" s="60" t="s">
        <v>346</v>
      </c>
      <c r="D69" s="61" t="n">
        <v>115.3</v>
      </c>
      <c r="E69" s="62" t="n">
        <v>9.2</v>
      </c>
      <c r="F69" s="60" t="s">
        <v>391</v>
      </c>
    </row>
    <row r="70" customFormat="false" ht="15" hidden="false" customHeight="false" outlineLevel="0" collapsed="false">
      <c r="A70" s="60" t="s">
        <v>1432</v>
      </c>
      <c r="B70" s="60" t="s">
        <v>270</v>
      </c>
      <c r="C70" s="60" t="s">
        <v>339</v>
      </c>
      <c r="D70" s="61" t="n">
        <v>118</v>
      </c>
      <c r="E70" s="62" t="n">
        <v>9.4</v>
      </c>
      <c r="F70" s="60" t="s">
        <v>391</v>
      </c>
    </row>
    <row r="71" customFormat="false" ht="15" hidden="false" customHeight="false" outlineLevel="0" collapsed="false">
      <c r="A71" s="60" t="s">
        <v>1433</v>
      </c>
      <c r="B71" s="60" t="s">
        <v>271</v>
      </c>
      <c r="C71" s="60" t="s">
        <v>341</v>
      </c>
      <c r="D71" s="61" t="n">
        <v>120.5</v>
      </c>
      <c r="E71" s="62" t="n">
        <v>9.6</v>
      </c>
      <c r="F71" s="60" t="s">
        <v>391</v>
      </c>
    </row>
    <row r="72" customFormat="false" ht="15" hidden="false" customHeight="false" outlineLevel="0" collapsed="false">
      <c r="A72" s="60" t="s">
        <v>1434</v>
      </c>
      <c r="B72" s="60" t="s">
        <v>271</v>
      </c>
      <c r="C72" s="60" t="s">
        <v>341</v>
      </c>
      <c r="D72" s="61" t="n">
        <v>132.5</v>
      </c>
      <c r="E72" s="62" t="n">
        <v>10.5</v>
      </c>
      <c r="F72" s="60" t="s">
        <v>391</v>
      </c>
    </row>
    <row r="73" customFormat="false" ht="15" hidden="false" customHeight="false" outlineLevel="0" collapsed="false">
      <c r="A73" s="60" t="s">
        <v>1435</v>
      </c>
      <c r="B73" s="60" t="s">
        <v>271</v>
      </c>
      <c r="C73" s="60" t="s">
        <v>341</v>
      </c>
      <c r="D73" s="61" t="n">
        <v>137.9</v>
      </c>
      <c r="E73" s="62" t="n">
        <v>11</v>
      </c>
      <c r="F73" s="60" t="s">
        <v>391</v>
      </c>
    </row>
    <row r="74" customFormat="false" ht="15" hidden="false" customHeight="false" outlineLevel="0" collapsed="false">
      <c r="A74" s="60" t="s">
        <v>1436</v>
      </c>
      <c r="B74" s="60" t="s">
        <v>271</v>
      </c>
      <c r="C74" s="60" t="s">
        <v>346</v>
      </c>
      <c r="D74" s="61" t="n">
        <v>144.3</v>
      </c>
      <c r="E74" s="62" t="n">
        <v>11.5</v>
      </c>
      <c r="F74" s="60" t="s">
        <v>391</v>
      </c>
    </row>
    <row r="75" customFormat="false" ht="15" hidden="false" customHeight="false" outlineLevel="0" collapsed="false">
      <c r="A75" s="60" t="s">
        <v>1437</v>
      </c>
      <c r="B75" s="60" t="s">
        <v>271</v>
      </c>
      <c r="C75" s="60" t="s">
        <v>361</v>
      </c>
      <c r="D75" s="61" t="n">
        <v>168.8</v>
      </c>
      <c r="E75" s="62" t="n">
        <v>13.4</v>
      </c>
      <c r="F75" s="60" t="s">
        <v>391</v>
      </c>
    </row>
    <row r="76" customFormat="false" ht="15" hidden="false" customHeight="false" outlineLevel="0" collapsed="false">
      <c r="A76" s="60" t="s">
        <v>1438</v>
      </c>
      <c r="B76" s="60" t="s">
        <v>270</v>
      </c>
      <c r="C76" s="60" t="s">
        <v>339</v>
      </c>
      <c r="D76" s="61" t="n">
        <v>170.4</v>
      </c>
      <c r="E76" s="62" t="n">
        <v>13.5</v>
      </c>
      <c r="F76" s="60" t="s">
        <v>391</v>
      </c>
    </row>
    <row r="77" customFormat="false" ht="15" hidden="false" customHeight="false" outlineLevel="0" collapsed="false">
      <c r="A77" s="60" t="s">
        <v>1439</v>
      </c>
      <c r="B77" s="60" t="s">
        <v>271</v>
      </c>
      <c r="C77" s="60" t="s">
        <v>346</v>
      </c>
      <c r="D77" s="61" t="n">
        <v>196.4</v>
      </c>
      <c r="E77" s="62" t="n">
        <v>15.6</v>
      </c>
      <c r="F77" s="60" t="s">
        <v>391</v>
      </c>
    </row>
    <row r="78" customFormat="false" ht="15" hidden="false" customHeight="false" outlineLevel="0" collapsed="false">
      <c r="A78" s="60" t="s">
        <v>1440</v>
      </c>
      <c r="B78" s="60" t="s">
        <v>270</v>
      </c>
      <c r="C78" s="60" t="s">
        <v>339</v>
      </c>
      <c r="D78" s="61" t="n">
        <v>205.1</v>
      </c>
      <c r="E78" s="62" t="n">
        <v>16.3</v>
      </c>
      <c r="F78" s="60" t="s">
        <v>391</v>
      </c>
    </row>
    <row r="79" customFormat="false" ht="15" hidden="false" customHeight="false" outlineLevel="0" collapsed="false">
      <c r="A79" s="60" t="s">
        <v>1441</v>
      </c>
      <c r="B79" s="60" t="s">
        <v>270</v>
      </c>
      <c r="C79" s="60" t="s">
        <v>339</v>
      </c>
      <c r="D79" s="61" t="n">
        <v>220.9</v>
      </c>
      <c r="E79" s="62" t="n">
        <v>17.6</v>
      </c>
      <c r="F79" s="60" t="s">
        <v>391</v>
      </c>
    </row>
    <row r="80" customFormat="false" ht="15" hidden="false" customHeight="false" outlineLevel="0" collapsed="false">
      <c r="A80" s="60" t="s">
        <v>1442</v>
      </c>
      <c r="B80" s="60" t="s">
        <v>270</v>
      </c>
      <c r="C80" s="60" t="s">
        <v>339</v>
      </c>
      <c r="D80" s="61" t="n">
        <v>229.9</v>
      </c>
      <c r="E80" s="62" t="n">
        <v>18.3</v>
      </c>
      <c r="F80" s="60" t="s">
        <v>391</v>
      </c>
    </row>
    <row r="81" customFormat="false" ht="15" hidden="false" customHeight="false" outlineLevel="0" collapsed="false">
      <c r="A81" s="60" t="s">
        <v>1443</v>
      </c>
      <c r="B81" s="60" t="s">
        <v>270</v>
      </c>
      <c r="C81" s="60" t="s">
        <v>339</v>
      </c>
      <c r="D81" s="61" t="n">
        <v>231.7</v>
      </c>
      <c r="E81" s="62" t="n">
        <v>18.4</v>
      </c>
      <c r="F81" s="60" t="s">
        <v>391</v>
      </c>
    </row>
    <row r="82" customFormat="false" ht="15" hidden="false" customHeight="false" outlineLevel="0" collapsed="false">
      <c r="A82" s="60" t="s">
        <v>1444</v>
      </c>
      <c r="B82" s="60" t="s">
        <v>270</v>
      </c>
      <c r="C82" s="60" t="s">
        <v>339</v>
      </c>
      <c r="D82" s="61" t="n">
        <v>236.1</v>
      </c>
      <c r="E82" s="62" t="n">
        <v>18.8</v>
      </c>
      <c r="F82" s="60" t="s">
        <v>391</v>
      </c>
    </row>
    <row r="83" customFormat="false" ht="15" hidden="false" customHeight="false" outlineLevel="0" collapsed="false">
      <c r="A83" s="60" t="s">
        <v>1445</v>
      </c>
      <c r="B83" s="60" t="s">
        <v>270</v>
      </c>
      <c r="C83" s="60" t="s">
        <v>339</v>
      </c>
      <c r="D83" s="61" t="n">
        <v>237.2</v>
      </c>
      <c r="E83" s="62" t="n">
        <v>18.9</v>
      </c>
      <c r="F83" s="60" t="s">
        <v>391</v>
      </c>
    </row>
    <row r="84" customFormat="false" ht="15" hidden="false" customHeight="false" outlineLevel="0" collapsed="false">
      <c r="A84" s="60" t="s">
        <v>1446</v>
      </c>
      <c r="B84" s="60" t="s">
        <v>270</v>
      </c>
      <c r="C84" s="60" t="s">
        <v>346</v>
      </c>
      <c r="D84" s="61" t="n">
        <v>269.2</v>
      </c>
      <c r="E84" s="62" t="n">
        <v>21.4</v>
      </c>
      <c r="F84" s="60" t="s">
        <v>391</v>
      </c>
    </row>
    <row r="85" customFormat="false" ht="15" hidden="false" customHeight="false" outlineLevel="0" collapsed="false">
      <c r="A85" s="60" t="s">
        <v>1447</v>
      </c>
      <c r="B85" s="60" t="s">
        <v>270</v>
      </c>
      <c r="C85" s="60" t="s">
        <v>339</v>
      </c>
      <c r="D85" s="61" t="n">
        <v>284.2</v>
      </c>
      <c r="E85" s="62" t="n">
        <v>22.6</v>
      </c>
      <c r="F85" s="60" t="s">
        <v>391</v>
      </c>
    </row>
  </sheetData>
  <mergeCells count="7">
    <mergeCell ref="A1:F1"/>
    <mergeCell ref="A10:F10"/>
    <mergeCell ref="A11:F11"/>
    <mergeCell ref="A12:F12"/>
    <mergeCell ref="A13:F13"/>
    <mergeCell ref="A14:F14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1448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9" t="s">
        <v>367</v>
      </c>
      <c r="B3" s="52" t="n">
        <v>290.3</v>
      </c>
    </row>
    <row r="4" customFormat="false" ht="15" hidden="false" customHeight="false" outlineLevel="0" collapsed="false">
      <c r="A4" s="39" t="s">
        <v>134</v>
      </c>
      <c r="B4" s="0" t="n">
        <v>27</v>
      </c>
    </row>
    <row r="5" customFormat="false" ht="15" hidden="false" customHeight="false" outlineLevel="0" collapsed="false">
      <c r="A5" s="39" t="s">
        <v>368</v>
      </c>
      <c r="B5" s="53" t="s">
        <v>1449</v>
      </c>
    </row>
    <row r="6" customFormat="false" ht="15" hidden="false" customHeight="false" outlineLevel="0" collapsed="false">
      <c r="A6" s="39" t="s">
        <v>370</v>
      </c>
      <c r="B6" s="54" t="n">
        <v>0.982451538940705</v>
      </c>
    </row>
    <row r="7" customFormat="false" ht="15" hidden="false" customHeight="false" outlineLevel="0" collapsed="false">
      <c r="A7" s="39" t="s">
        <v>371</v>
      </c>
      <c r="B7" s="55" t="n">
        <v>50</v>
      </c>
    </row>
    <row r="8" customFormat="false" ht="15" hidden="false" customHeight="false" outlineLevel="0" collapsed="false">
      <c r="A8" s="39" t="s">
        <v>32</v>
      </c>
      <c r="B8" s="56" t="n">
        <v>0.0196490307788141</v>
      </c>
    </row>
    <row r="10" customFormat="false" ht="15" hidden="false" customHeight="false" outlineLevel="0" collapsed="false">
      <c r="A10" s="57" t="s">
        <v>372</v>
      </c>
      <c r="B10" s="57"/>
      <c r="C10" s="57"/>
      <c r="D10" s="57"/>
      <c r="E10" s="57"/>
      <c r="F10" s="57"/>
    </row>
    <row r="11" customFormat="false" ht="34.5" hidden="false" customHeight="true" outlineLevel="0" collapsed="false">
      <c r="A11" s="58" t="s">
        <v>1450</v>
      </c>
      <c r="B11" s="58"/>
      <c r="C11" s="58"/>
      <c r="D11" s="58"/>
      <c r="E11" s="58"/>
      <c r="F11" s="58"/>
    </row>
    <row r="12" customFormat="false" ht="34.5" hidden="false" customHeight="true" outlineLevel="0" collapsed="false">
      <c r="A12" s="58" t="s">
        <v>1451</v>
      </c>
      <c r="B12" s="58"/>
      <c r="C12" s="58"/>
      <c r="D12" s="58"/>
      <c r="E12" s="58"/>
      <c r="F12" s="58"/>
    </row>
    <row r="13" customFormat="false" ht="34.5" hidden="false" customHeight="true" outlineLevel="0" collapsed="false">
      <c r="A13" s="58" t="s">
        <v>1452</v>
      </c>
      <c r="B13" s="58"/>
      <c r="C13" s="58"/>
      <c r="D13" s="58"/>
      <c r="E13" s="58"/>
      <c r="F13" s="58"/>
    </row>
    <row r="15" customFormat="false" ht="15" hidden="false" customHeight="false" outlineLevel="0" collapsed="false">
      <c r="A15" s="59" t="s">
        <v>378</v>
      </c>
    </row>
    <row r="16" customFormat="false" ht="26.85" hidden="false" customHeight="false" outlineLevel="0" collapsed="false">
      <c r="A16" s="6" t="s">
        <v>210</v>
      </c>
      <c r="B16" s="6" t="s">
        <v>134</v>
      </c>
      <c r="C16" s="6" t="s">
        <v>132</v>
      </c>
      <c r="D16" s="6" t="s">
        <v>379</v>
      </c>
      <c r="E16" s="6" t="s">
        <v>380</v>
      </c>
    </row>
    <row r="17" customFormat="false" ht="15" hidden="false" customHeight="false" outlineLevel="0" collapsed="false">
      <c r="A17" s="63" t="s">
        <v>243</v>
      </c>
      <c r="B17" s="63" t="n">
        <v>26</v>
      </c>
      <c r="C17" s="64" t="n">
        <v>290.3</v>
      </c>
      <c r="D17" s="65" t="n">
        <v>11.2</v>
      </c>
      <c r="E17" s="65" t="n">
        <v>1</v>
      </c>
    </row>
    <row r="18" customFormat="false" ht="15" hidden="false" customHeight="false" outlineLevel="0" collapsed="false">
      <c r="A18" s="63" t="s">
        <v>244</v>
      </c>
      <c r="B18" s="63" t="n">
        <v>1</v>
      </c>
      <c r="C18" s="64" t="n">
        <v>0</v>
      </c>
      <c r="D18" s="65" t="n">
        <v>0</v>
      </c>
      <c r="E18" s="65" t="n">
        <v>0</v>
      </c>
    </row>
    <row r="20" customFormat="false" ht="15" hidden="false" customHeight="false" outlineLevel="0" collapsed="false">
      <c r="A20" s="59" t="s">
        <v>381</v>
      </c>
    </row>
    <row r="21" customFormat="false" ht="26.85" hidden="false" customHeight="false" outlineLevel="0" collapsed="false">
      <c r="A21" s="6" t="s">
        <v>161</v>
      </c>
      <c r="B21" s="6" t="s">
        <v>162</v>
      </c>
      <c r="C21" s="6" t="s">
        <v>163</v>
      </c>
      <c r="D21" s="6" t="s">
        <v>382</v>
      </c>
      <c r="E21" s="6" t="s">
        <v>383</v>
      </c>
      <c r="F21" s="6" t="s">
        <v>384</v>
      </c>
    </row>
    <row r="22" customFormat="false" ht="15" hidden="false" customHeight="false" outlineLevel="0" collapsed="false">
      <c r="A22" s="66" t="s">
        <v>174</v>
      </c>
      <c r="B22" s="67" t="n">
        <v>58</v>
      </c>
      <c r="C22" s="67" t="n">
        <v>0</v>
      </c>
      <c r="D22" s="68" t="n">
        <v>0</v>
      </c>
      <c r="E22" s="68" t="n">
        <v>0</v>
      </c>
      <c r="F22" s="69" t="n">
        <v>0</v>
      </c>
    </row>
    <row r="23" customFormat="false" ht="15" hidden="false" customHeight="false" outlineLevel="0" collapsed="false">
      <c r="A23" s="66" t="s">
        <v>45</v>
      </c>
      <c r="B23" s="67" t="n">
        <v>21</v>
      </c>
      <c r="C23" s="67" t="n">
        <v>2903</v>
      </c>
      <c r="D23" s="68" t="n">
        <v>0</v>
      </c>
      <c r="E23" s="68" t="n">
        <v>0</v>
      </c>
      <c r="F23" s="69" t="n">
        <v>0</v>
      </c>
    </row>
    <row r="24" customFormat="false" ht="15" hidden="false" customHeight="false" outlineLevel="0" collapsed="false">
      <c r="A24" s="66" t="s">
        <v>43</v>
      </c>
      <c r="B24" s="67" t="n">
        <v>6</v>
      </c>
      <c r="C24" s="67" t="n">
        <v>0</v>
      </c>
      <c r="D24" s="68" t="n">
        <v>0</v>
      </c>
      <c r="E24" s="68" t="n">
        <v>0</v>
      </c>
      <c r="F24" s="69" t="n">
        <v>0</v>
      </c>
    </row>
    <row r="25" customFormat="false" ht="15" hidden="false" customHeight="false" outlineLevel="0" collapsed="false">
      <c r="A25" s="66" t="s">
        <v>49</v>
      </c>
      <c r="B25" s="67" t="n">
        <v>5</v>
      </c>
      <c r="C25" s="67" t="n">
        <v>0</v>
      </c>
      <c r="D25" s="68" t="n">
        <v>0</v>
      </c>
      <c r="E25" s="68" t="n">
        <v>0</v>
      </c>
      <c r="F25" s="69" t="n">
        <v>0</v>
      </c>
    </row>
    <row r="27" customFormat="false" ht="15" hidden="false" customHeight="false" outlineLevel="0" collapsed="false">
      <c r="A27" s="70" t="s">
        <v>385</v>
      </c>
      <c r="B27" s="70"/>
      <c r="C27" s="70"/>
      <c r="D27" s="70"/>
      <c r="E27" s="70"/>
      <c r="F27" s="70"/>
    </row>
    <row r="28" customFormat="false" ht="15" hidden="false" customHeight="false" outlineLevel="0" collapsed="false">
      <c r="A28" s="6" t="s">
        <v>275</v>
      </c>
      <c r="B28" s="6" t="s">
        <v>386</v>
      </c>
      <c r="C28" s="6" t="s">
        <v>276</v>
      </c>
      <c r="D28" s="6" t="s">
        <v>132</v>
      </c>
      <c r="E28" s="6" t="s">
        <v>387</v>
      </c>
      <c r="F28" s="6" t="s">
        <v>75</v>
      </c>
    </row>
    <row r="29" customFormat="false" ht="15" hidden="false" customHeight="false" outlineLevel="0" collapsed="false">
      <c r="A29" s="77" t="s">
        <v>1453</v>
      </c>
      <c r="B29" s="77" t="s">
        <v>243</v>
      </c>
      <c r="C29" s="77" t="s">
        <v>363</v>
      </c>
      <c r="D29" s="78" t="n">
        <v>0</v>
      </c>
      <c r="E29" s="79" t="n">
        <v>0</v>
      </c>
      <c r="F29" s="77" t="s">
        <v>531</v>
      </c>
    </row>
    <row r="30" customFormat="false" ht="15" hidden="false" customHeight="false" outlineLevel="0" collapsed="false">
      <c r="A30" s="77" t="s">
        <v>1454</v>
      </c>
      <c r="B30" s="77" t="s">
        <v>243</v>
      </c>
      <c r="C30" s="77" t="s">
        <v>363</v>
      </c>
      <c r="D30" s="78" t="n">
        <v>0</v>
      </c>
      <c r="E30" s="79" t="n">
        <v>0</v>
      </c>
      <c r="F30" s="77" t="s">
        <v>531</v>
      </c>
    </row>
    <row r="31" customFormat="false" ht="15" hidden="false" customHeight="false" outlineLevel="0" collapsed="false">
      <c r="A31" s="77" t="s">
        <v>1455</v>
      </c>
      <c r="B31" s="77" t="s">
        <v>243</v>
      </c>
      <c r="C31" s="77" t="s">
        <v>362</v>
      </c>
      <c r="D31" s="78" t="n">
        <v>0</v>
      </c>
      <c r="E31" s="79" t="n">
        <v>0</v>
      </c>
      <c r="F31" s="77" t="s">
        <v>531</v>
      </c>
    </row>
    <row r="32" customFormat="false" ht="15" hidden="false" customHeight="false" outlineLevel="0" collapsed="false">
      <c r="A32" s="77" t="s">
        <v>1456</v>
      </c>
      <c r="B32" s="77" t="s">
        <v>243</v>
      </c>
      <c r="C32" s="77" t="s">
        <v>363</v>
      </c>
      <c r="D32" s="78" t="n">
        <v>0</v>
      </c>
      <c r="E32" s="79" t="n">
        <v>0</v>
      </c>
      <c r="F32" s="77" t="s">
        <v>531</v>
      </c>
    </row>
    <row r="33" customFormat="false" ht="15" hidden="false" customHeight="false" outlineLevel="0" collapsed="false">
      <c r="A33" s="77" t="s">
        <v>1457</v>
      </c>
      <c r="B33" s="77" t="s">
        <v>244</v>
      </c>
      <c r="C33" s="77" t="s">
        <v>346</v>
      </c>
      <c r="D33" s="78" t="n">
        <v>0</v>
      </c>
      <c r="E33" s="79" t="n">
        <v>0</v>
      </c>
      <c r="F33" s="77" t="s">
        <v>531</v>
      </c>
    </row>
    <row r="34" customFormat="false" ht="15" hidden="false" customHeight="false" outlineLevel="0" collapsed="false">
      <c r="A34" s="77" t="s">
        <v>1458</v>
      </c>
      <c r="B34" s="77" t="s">
        <v>243</v>
      </c>
      <c r="C34" s="77" t="s">
        <v>363</v>
      </c>
      <c r="D34" s="78" t="n">
        <v>0</v>
      </c>
      <c r="E34" s="79" t="n">
        <v>0</v>
      </c>
      <c r="F34" s="77" t="s">
        <v>531</v>
      </c>
    </row>
    <row r="35" customFormat="false" ht="15" hidden="false" customHeight="false" outlineLevel="0" collapsed="false">
      <c r="A35" s="60" t="s">
        <v>1459</v>
      </c>
      <c r="B35" s="60" t="s">
        <v>243</v>
      </c>
      <c r="C35" s="60" t="s">
        <v>362</v>
      </c>
      <c r="D35" s="61" t="n">
        <v>0.2</v>
      </c>
      <c r="E35" s="62" t="n">
        <v>0</v>
      </c>
      <c r="F35" s="60" t="s">
        <v>391</v>
      </c>
    </row>
    <row r="36" customFormat="false" ht="15" hidden="false" customHeight="false" outlineLevel="0" collapsed="false">
      <c r="A36" s="60" t="s">
        <v>1460</v>
      </c>
      <c r="B36" s="60" t="s">
        <v>243</v>
      </c>
      <c r="C36" s="60" t="s">
        <v>363</v>
      </c>
      <c r="D36" s="61" t="n">
        <v>1.1</v>
      </c>
      <c r="E36" s="62" t="n">
        <v>0.1</v>
      </c>
      <c r="F36" s="60" t="s">
        <v>391</v>
      </c>
    </row>
    <row r="37" customFormat="false" ht="15" hidden="false" customHeight="false" outlineLevel="0" collapsed="false">
      <c r="A37" s="60" t="s">
        <v>1461</v>
      </c>
      <c r="B37" s="60" t="s">
        <v>243</v>
      </c>
      <c r="C37" s="60" t="s">
        <v>362</v>
      </c>
      <c r="D37" s="61" t="n">
        <v>2.3</v>
      </c>
      <c r="E37" s="62" t="n">
        <v>0.2</v>
      </c>
      <c r="F37" s="60" t="s">
        <v>391</v>
      </c>
    </row>
    <row r="38" customFormat="false" ht="15" hidden="false" customHeight="false" outlineLevel="0" collapsed="false">
      <c r="A38" s="60" t="s">
        <v>1462</v>
      </c>
      <c r="B38" s="60" t="s">
        <v>243</v>
      </c>
      <c r="C38" s="60" t="s">
        <v>362</v>
      </c>
      <c r="D38" s="61" t="n">
        <v>4.8</v>
      </c>
      <c r="E38" s="62" t="n">
        <v>0.4</v>
      </c>
      <c r="F38" s="60" t="s">
        <v>391</v>
      </c>
    </row>
    <row r="39" customFormat="false" ht="15" hidden="false" customHeight="false" outlineLevel="0" collapsed="false">
      <c r="A39" s="60" t="s">
        <v>1463</v>
      </c>
      <c r="B39" s="60" t="s">
        <v>243</v>
      </c>
      <c r="C39" s="60" t="s">
        <v>362</v>
      </c>
      <c r="D39" s="61" t="n">
        <v>5</v>
      </c>
      <c r="E39" s="62" t="n">
        <v>0.5</v>
      </c>
      <c r="F39" s="60" t="s">
        <v>391</v>
      </c>
    </row>
    <row r="40" customFormat="false" ht="15" hidden="false" customHeight="false" outlineLevel="0" collapsed="false">
      <c r="A40" s="60" t="s">
        <v>1464</v>
      </c>
      <c r="B40" s="60" t="s">
        <v>243</v>
      </c>
      <c r="C40" s="60" t="s">
        <v>362</v>
      </c>
      <c r="D40" s="61" t="n">
        <v>5.1</v>
      </c>
      <c r="E40" s="62" t="n">
        <v>0.5</v>
      </c>
      <c r="F40" s="60" t="s">
        <v>391</v>
      </c>
    </row>
    <row r="41" customFormat="false" ht="15" hidden="false" customHeight="false" outlineLevel="0" collapsed="false">
      <c r="A41" s="60" t="s">
        <v>1465</v>
      </c>
      <c r="B41" s="60" t="s">
        <v>243</v>
      </c>
      <c r="C41" s="60" t="s">
        <v>363</v>
      </c>
      <c r="D41" s="61" t="n">
        <v>5.3</v>
      </c>
      <c r="E41" s="62" t="n">
        <v>0.5</v>
      </c>
      <c r="F41" s="60" t="s">
        <v>391</v>
      </c>
    </row>
    <row r="42" customFormat="false" ht="15" hidden="false" customHeight="false" outlineLevel="0" collapsed="false">
      <c r="A42" s="60" t="s">
        <v>1466</v>
      </c>
      <c r="B42" s="60" t="s">
        <v>243</v>
      </c>
      <c r="C42" s="60" t="s">
        <v>362</v>
      </c>
      <c r="D42" s="61" t="n">
        <v>6.4</v>
      </c>
      <c r="E42" s="62" t="n">
        <v>0.6</v>
      </c>
      <c r="F42" s="60" t="s">
        <v>391</v>
      </c>
    </row>
    <row r="43" customFormat="false" ht="15" hidden="false" customHeight="false" outlineLevel="0" collapsed="false">
      <c r="A43" s="60" t="s">
        <v>1467</v>
      </c>
      <c r="B43" s="60" t="s">
        <v>243</v>
      </c>
      <c r="C43" s="60" t="s">
        <v>363</v>
      </c>
      <c r="D43" s="61" t="n">
        <v>6.5</v>
      </c>
      <c r="E43" s="62" t="n">
        <v>0.6</v>
      </c>
      <c r="F43" s="60" t="s">
        <v>391</v>
      </c>
    </row>
    <row r="44" customFormat="false" ht="15" hidden="false" customHeight="false" outlineLevel="0" collapsed="false">
      <c r="A44" s="60" t="s">
        <v>1468</v>
      </c>
      <c r="B44" s="60" t="s">
        <v>243</v>
      </c>
      <c r="C44" s="60" t="s">
        <v>362</v>
      </c>
      <c r="D44" s="61" t="n">
        <v>7.2</v>
      </c>
      <c r="E44" s="62" t="n">
        <v>0.7</v>
      </c>
      <c r="F44" s="60" t="s">
        <v>391</v>
      </c>
    </row>
    <row r="45" customFormat="false" ht="15" hidden="false" customHeight="false" outlineLevel="0" collapsed="false">
      <c r="A45" s="60" t="s">
        <v>1469</v>
      </c>
      <c r="B45" s="60" t="s">
        <v>243</v>
      </c>
      <c r="C45" s="60" t="s">
        <v>362</v>
      </c>
      <c r="D45" s="61" t="n">
        <v>7.6</v>
      </c>
      <c r="E45" s="62" t="n">
        <v>0.7</v>
      </c>
      <c r="F45" s="60" t="s">
        <v>391</v>
      </c>
    </row>
    <row r="46" customFormat="false" ht="15" hidden="false" customHeight="false" outlineLevel="0" collapsed="false">
      <c r="A46" s="60" t="s">
        <v>1470</v>
      </c>
      <c r="B46" s="60" t="s">
        <v>243</v>
      </c>
      <c r="C46" s="60" t="s">
        <v>362</v>
      </c>
      <c r="D46" s="61" t="n">
        <v>7.7</v>
      </c>
      <c r="E46" s="62" t="n">
        <v>0.7</v>
      </c>
      <c r="F46" s="60" t="s">
        <v>391</v>
      </c>
    </row>
    <row r="47" customFormat="false" ht="15" hidden="false" customHeight="false" outlineLevel="0" collapsed="false">
      <c r="A47" s="60" t="s">
        <v>1471</v>
      </c>
      <c r="B47" s="60" t="s">
        <v>243</v>
      </c>
      <c r="C47" s="60" t="s">
        <v>362</v>
      </c>
      <c r="D47" s="61" t="n">
        <v>8.3</v>
      </c>
      <c r="E47" s="62" t="n">
        <v>0.8</v>
      </c>
      <c r="F47" s="60" t="s">
        <v>391</v>
      </c>
    </row>
    <row r="48" customFormat="false" ht="15" hidden="false" customHeight="false" outlineLevel="0" collapsed="false">
      <c r="A48" s="60" t="s">
        <v>1472</v>
      </c>
      <c r="B48" s="60" t="s">
        <v>243</v>
      </c>
      <c r="C48" s="60" t="s">
        <v>362</v>
      </c>
      <c r="D48" s="61" t="n">
        <v>8.8</v>
      </c>
      <c r="E48" s="62" t="n">
        <v>0.8</v>
      </c>
      <c r="F48" s="60" t="s">
        <v>391</v>
      </c>
    </row>
    <row r="49" customFormat="false" ht="15" hidden="false" customHeight="false" outlineLevel="0" collapsed="false">
      <c r="A49" s="60" t="s">
        <v>1473</v>
      </c>
      <c r="B49" s="60" t="s">
        <v>243</v>
      </c>
      <c r="C49" s="60" t="s">
        <v>362</v>
      </c>
      <c r="D49" s="61" t="n">
        <v>9.7</v>
      </c>
      <c r="E49" s="62" t="n">
        <v>0.9</v>
      </c>
      <c r="F49" s="60" t="s">
        <v>391</v>
      </c>
    </row>
    <row r="50" customFormat="false" ht="15" hidden="false" customHeight="false" outlineLevel="0" collapsed="false">
      <c r="A50" s="60" t="s">
        <v>1474</v>
      </c>
      <c r="B50" s="60" t="s">
        <v>243</v>
      </c>
      <c r="C50" s="60" t="s">
        <v>363</v>
      </c>
      <c r="D50" s="61" t="n">
        <v>15.8</v>
      </c>
      <c r="E50" s="62" t="n">
        <v>1.4</v>
      </c>
      <c r="F50" s="60" t="s">
        <v>391</v>
      </c>
    </row>
    <row r="51" customFormat="false" ht="15" hidden="false" customHeight="false" outlineLevel="0" collapsed="false">
      <c r="A51" s="60" t="s">
        <v>1475</v>
      </c>
      <c r="B51" s="60" t="s">
        <v>243</v>
      </c>
      <c r="C51" s="60" t="s">
        <v>363</v>
      </c>
      <c r="D51" s="61" t="n">
        <v>19</v>
      </c>
      <c r="E51" s="62" t="n">
        <v>1.7</v>
      </c>
      <c r="F51" s="60" t="s">
        <v>391</v>
      </c>
    </row>
    <row r="52" customFormat="false" ht="15" hidden="false" customHeight="false" outlineLevel="0" collapsed="false">
      <c r="A52" s="60" t="s">
        <v>1476</v>
      </c>
      <c r="B52" s="60" t="s">
        <v>243</v>
      </c>
      <c r="C52" s="60" t="s">
        <v>363</v>
      </c>
      <c r="D52" s="61" t="n">
        <v>25.1</v>
      </c>
      <c r="E52" s="62" t="n">
        <v>2.3</v>
      </c>
      <c r="F52" s="60" t="s">
        <v>391</v>
      </c>
    </row>
    <row r="53" customFormat="false" ht="15" hidden="false" customHeight="false" outlineLevel="0" collapsed="false">
      <c r="A53" s="60" t="s">
        <v>1477</v>
      </c>
      <c r="B53" s="60" t="s">
        <v>243</v>
      </c>
      <c r="C53" s="60" t="s">
        <v>362</v>
      </c>
      <c r="D53" s="61" t="n">
        <v>30.9</v>
      </c>
      <c r="E53" s="62" t="n">
        <v>2.8</v>
      </c>
      <c r="F53" s="60" t="s">
        <v>391</v>
      </c>
    </row>
    <row r="54" customFormat="false" ht="15" hidden="false" customHeight="false" outlineLevel="0" collapsed="false">
      <c r="A54" s="60" t="s">
        <v>1478</v>
      </c>
      <c r="B54" s="60" t="s">
        <v>243</v>
      </c>
      <c r="C54" s="60" t="s">
        <v>362</v>
      </c>
      <c r="D54" s="61" t="n">
        <v>50.9</v>
      </c>
      <c r="E54" s="62" t="n">
        <v>4.7</v>
      </c>
      <c r="F54" s="60" t="s">
        <v>391</v>
      </c>
    </row>
    <row r="55" customFormat="false" ht="15" hidden="false" customHeight="false" outlineLevel="0" collapsed="false">
      <c r="A55" s="60" t="s">
        <v>1479</v>
      </c>
      <c r="B55" s="60" t="s">
        <v>243</v>
      </c>
      <c r="C55" s="60" t="s">
        <v>364</v>
      </c>
      <c r="D55" s="61" t="n">
        <v>62.6</v>
      </c>
      <c r="E55" s="62" t="n">
        <v>5.7</v>
      </c>
      <c r="F55" s="60" t="s">
        <v>391</v>
      </c>
    </row>
  </sheetData>
  <mergeCells count="6">
    <mergeCell ref="A1:F1"/>
    <mergeCell ref="A10:F10"/>
    <mergeCell ref="A11:F11"/>
    <mergeCell ref="A12:F12"/>
    <mergeCell ref="A13:F13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2026-06-01T07:50:23Z</dcterms:created>
  <dc:creator>openpyxl</dc:creator>
  <dc:description/>
  <dc:language>en-US</dc:language>
  <cp:lastModifiedBy/>
  <dcterms:modified xsi:type="dcterms:W3CDTF">2026-06-01T07:50:24Z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