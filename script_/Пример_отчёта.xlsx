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бщие выводы" sheetId="1" state="visible" r:id="rId3"/>
    <sheet name="Валидация" sheetId="2" state="visible" r:id="rId4"/>
    <sheet name="Рейтинг" sheetId="3" state="visible" r:id="rId5"/>
    <sheet name="Цели" sheetId="4" state="visible" r:id="rId6"/>
    <sheet name="Качество" sheetId="5" state="visible" r:id="rId7"/>
    <sheet name="Утилизация" sheetId="6" state="visible" r:id="rId8"/>
    <sheet name="По API Key" sheetId="7" state="visible" r:id="rId9"/>
    <sheet name="Топ-устройства" sheetId="8" state="visible" r:id="rId10"/>
    <sheet name="Рекомендации" sheetId="9" state="visible" r:id="rId11"/>
    <sheet name="Модели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<sst xmlns="http://schemas.openxmlformats.org/spreadsheetml/2006/main" count="546" uniqueCount="307">
  <si>
    <t xml:space="preserve">Краткое резюме</t>
  </si>
  <si>
    <t xml:space="preserve">▌ СТАТУС ОТЧЁТА</t>
  </si>
  <si>
    <t xml:space="preserve">Уровень готовности</t>
  </si>
  <si>
    <t xml:space="preserve">Share with caveats</t>
  </si>
  <si>
    <t xml:space="preserve">Резюме</t>
  </si>
  <si>
    <t xml:space="preserve">Отчёт корректен, но требует 2 важных оговорок при презентации.</t>
  </si>
  <si>
    <t xml:space="preserve">Проверок пройдено</t>
  </si>
  <si>
    <t xml:space="preserve">13 PASS · 5 WARN · 0 FAIL</t>
  </si>
  <si>
    <t xml:space="preserve">Период данных</t>
  </si>
  <si>
    <t xml:space="preserve">18.05.2026 — 22.05.2026</t>
  </si>
  <si>
    <t xml:space="preserve">Общий доход</t>
  </si>
  <si>
    <t xml:space="preserve">52 781.40 ₽</t>
  </si>
  <si>
    <t xml:space="preserve">Сотрудников в отчёте</t>
  </si>
  <si>
    <t xml:space="preserve">8</t>
  </si>
  <si>
    <t xml:space="preserve">Устройств всего</t>
  </si>
  <si>
    <t xml:space="preserve">801</t>
  </si>
  <si>
    <t xml:space="preserve">Средний доход на устройство</t>
  </si>
  <si>
    <t xml:space="preserve">65.89 ₽</t>
  </si>
  <si>
    <t xml:space="preserve">Активных за последние 24ч</t>
  </si>
  <si>
    <t xml:space="preserve">207 (26% парка)</t>
  </si>
  <si>
    <t xml:space="preserve">"Мёртвых" устройств (нет дохода и простой &gt;2 дн)</t>
  </si>
  <si>
    <t xml:space="preserve">31 (4% парка)</t>
  </si>
  <si>
    <t xml:space="preserve">▌ ЦЕЛЬ: 50 ₽/устр/сутки</t>
  </si>
  <si>
    <t xml:space="preserve">Целевой показатель</t>
  </si>
  <si>
    <t xml:space="preserve">50 ₽ на устройство в сутки</t>
  </si>
  <si>
    <t xml:space="preserve">Факт по компании</t>
  </si>
  <si>
    <t xml:space="preserve">24.7 ₽/устр/сутки</t>
  </si>
  <si>
    <t xml:space="preserve">Отклонение от цели</t>
  </si>
  <si>
    <t xml:space="preserve">-25.3 ₽/устр/сутки</t>
  </si>
  <si>
    <t xml:space="preserve">План за период</t>
  </si>
  <si>
    <t xml:space="preserve">106 944.76 ₽</t>
  </si>
  <si>
    <t xml:space="preserve">Факт за период</t>
  </si>
  <si>
    <t xml:space="preserve">Выполнение плана</t>
  </si>
  <si>
    <t xml:space="preserve">49.4%</t>
  </si>
  <si>
    <t xml:space="preserve">Перевыполняют план</t>
  </si>
  <si>
    <t xml:space="preserve">0 из 8 сотрудников</t>
  </si>
  <si>
    <t xml:space="preserve">Ниже 50% плана</t>
  </si>
  <si>
    <t xml:space="preserve">5 из 8 сотрудников</t>
  </si>
  <si>
    <t xml:space="preserve">▌ СТРУКТУРА ДОХОДА</t>
  </si>
  <si>
    <t xml:space="preserve">WhatsApp рассылки</t>
  </si>
  <si>
    <t xml:space="preserve">31 845.30 ₽ (60.3%)</t>
  </si>
  <si>
    <t xml:space="preserve">Regular (SMS-коды)</t>
  </si>
  <si>
    <t xml:space="preserve">12 972.00 ₽ (24.6%)</t>
  </si>
  <si>
    <t xml:space="preserve">Kakao</t>
  </si>
  <si>
    <t xml:space="preserve">7 541.70 ₽ (14.3%)</t>
  </si>
  <si>
    <t xml:space="preserve">Click</t>
  </si>
  <si>
    <t xml:space="preserve">415.40 ₽ (0.8%)</t>
  </si>
  <si>
    <t xml:space="preserve">Business</t>
  </si>
  <si>
    <t xml:space="preserve">7.00 ₽ (0.0%)</t>
  </si>
  <si>
    <t xml:space="preserve">Viber</t>
  </si>
  <si>
    <t xml:space="preserve">0.00 ₽ (0.0%)</t>
  </si>
  <si>
    <t xml:space="preserve">▌ ТОП-3 ПО ВЫПОЛНЕНИЮ ЦЕЛИ</t>
  </si>
  <si>
    <t xml:space="preserve">Глухов</t>
  </si>
  <si>
    <t xml:space="preserve">39 ₽/устр/сутки (79% плана, 152 устр)</t>
  </si>
  <si>
    <t xml:space="preserve">Болонкин</t>
  </si>
  <si>
    <t xml:space="preserve">35 ₽/устр/сутки (71% плана, 141 устр)</t>
  </si>
  <si>
    <t xml:space="preserve">Насыров</t>
  </si>
  <si>
    <t xml:space="preserve">31 ₽/устр/сутки (62% плана, 56 устр)</t>
  </si>
  <si>
    <t xml:space="preserve">▌ АНТИ-ТОП ПО ВЫПОЛНЕНИЮ ЦЕЛИ</t>
  </si>
  <si>
    <t xml:space="preserve">Марат</t>
  </si>
  <si>
    <t xml:space="preserve">13 ₽/устр/сутки (26% плана, 117 устр)</t>
  </si>
  <si>
    <t xml:space="preserve">Некит</t>
  </si>
  <si>
    <t xml:space="preserve">19 ₽/устр/сутки (39% плана, 118 устр)</t>
  </si>
  <si>
    <t xml:space="preserve">Серега</t>
  </si>
  <si>
    <t xml:space="preserve">20 ₽/устр/сутки (40% плана, 44 устр)</t>
  </si>
  <si>
    <t xml:space="preserve">▌ ВАЖНЫЕ ОГОВОРКИ ДЛЯ ПРЕЗЕНТАЦИИ</t>
  </si>
  <si>
    <t xml:space="preserve">•</t>
  </si>
  <si>
    <t xml:space="preserve">[HIGH] Сопоставимость периодов: У сотрудников разные периоды наблюдения (42–98 ч). Сравнение по абсолютному доходу некорректно — используйте "Доход/устр" или нормируйте на длину периода.</t>
  </si>
  <si>
    <t xml:space="preserve">[HIGH] Выполнение цели (общее): Существенный недобор: 49.4% от плана. 5 сотрудник(ов) ниже 50% плана. Цель 50 ₽/устр/сутки требует пересмотра либо тактики, либо самой цели.</t>
  </si>
  <si>
    <t xml:space="preserve">[MED] Сотрудники без данных: 2 сотрудников из конфига нет в данных: Ильяс, Питер. Либо они не работают, либо их API Key переименованы.</t>
  </si>
  <si>
    <t xml:space="preserve">[MED] Длина периода: Период 5 дн — выводы по отдельным сотрудникам имеют большой шум</t>
  </si>
  <si>
    <t xml:space="preserve">[MED] Survivorship bias: В выгрузке только активно работающие устройства. Если у сотрудника железо физически отключено (а не показывает 0 ₽), оно вообще не попадёт в анализ — реальный парк может быть больше.</t>
  </si>
  <si>
    <t xml:space="preserve">Проверки качества отчёта · Share with caveats</t>
  </si>
  <si>
    <t xml:space="preserve">Категория</t>
  </si>
  <si>
    <t xml:space="preserve">Проверка</t>
  </si>
  <si>
    <t xml:space="preserve">Статус</t>
  </si>
  <si>
    <t xml:space="preserve">Важность</t>
  </si>
  <si>
    <t xml:space="preserve">Подробности</t>
  </si>
  <si>
    <t xml:space="preserve">Аналитические ловушки</t>
  </si>
  <si>
    <t xml:space="preserve">Сопоставимость периодов</t>
  </si>
  <si>
    <t xml:space="preserve">WARN</t>
  </si>
  <si>
    <t xml:space="preserve">HIGH</t>
  </si>
  <si>
    <t xml:space="preserve">У сотрудников разные периоды наблюдения (42–98 ч). Сравнение по абсолютному доходу некорректно — используйте "Доход/устр" или нормируйте на длину периода.</t>
  </si>
  <si>
    <t xml:space="preserve">Цели</t>
  </si>
  <si>
    <t xml:space="preserve">Выполнение цели (общее)</t>
  </si>
  <si>
    <t xml:space="preserve">Существенный недобор: 49.4% от плана. 5 сотрудник(ов) ниже 50% плана. Цель 50 ₽/устр/сутки требует пересмотра либо тактики, либо самой цели.</t>
  </si>
  <si>
    <t xml:space="preserve">Качество данных</t>
  </si>
  <si>
    <t xml:space="preserve">Сотрудники без данных</t>
  </si>
  <si>
    <t xml:space="preserve">MED</t>
  </si>
  <si>
    <t xml:space="preserve">2 сотрудников из конфига нет в данных: Ильяс, Питер. Либо они не работают, либо их API Key переименованы.</t>
  </si>
  <si>
    <t xml:space="preserve">Разумность</t>
  </si>
  <si>
    <t xml:space="preserve">Длина периода</t>
  </si>
  <si>
    <t xml:space="preserve">Период 5 дн — выводы по отдельным сотрудникам имеют большой шум</t>
  </si>
  <si>
    <t xml:space="preserve">Survivorship bias</t>
  </si>
  <si>
    <t xml:space="preserve">В выгрузке только активно работающие устройства. Если у сотрудника железо физически отключено (а не показывает 0 ₽), оно вообще не попадёт в анализ — реальный парк может быть больше.</t>
  </si>
  <si>
    <t xml:space="preserve">Расчёты</t>
  </si>
  <si>
    <t xml:space="preserve">Сумма каналов = Total</t>
  </si>
  <si>
    <t xml:space="preserve">PASS</t>
  </si>
  <si>
    <t xml:space="preserve">Сумма каналов 52,781.40 = Total 52,781.40 (расхождение 0.00%)</t>
  </si>
  <si>
    <t xml:space="preserve">Режим загрузки</t>
  </si>
  <si>
    <t xml:space="preserve">LOW</t>
  </si>
  <si>
    <t xml:space="preserve">Используется конфиг-маппинг API Key → сотрудник (10 сотрудников в конфиге)</t>
  </si>
  <si>
    <t xml:space="preserve">Несматченные API Key</t>
  </si>
  <si>
    <t xml:space="preserve">Все API Key из данных нашли своего сотрудника в конфиге</t>
  </si>
  <si>
    <t xml:space="preserve">Источники</t>
  </si>
  <si>
    <t xml:space="preserve">Загружено 8 файл(ов)</t>
  </si>
  <si>
    <t xml:space="preserve">Свежесть данных</t>
  </si>
  <si>
    <t xml:space="preserve">Самая свежая запись 3 дн. назад</t>
  </si>
  <si>
    <t xml:space="preserve">Дубликаты строк</t>
  </si>
  <si>
    <t xml:space="preserve">Дубликатов не найдено</t>
  </si>
  <si>
    <t xml:space="preserve">Итоговые строки</t>
  </si>
  <si>
    <t xml:space="preserve">Все строки без API Key исключены (нет двойного счёта)</t>
  </si>
  <si>
    <t xml:space="preserve">Отрицательные доходы</t>
  </si>
  <si>
    <t xml:space="preserve">Все доходы ≥ 0</t>
  </si>
  <si>
    <t xml:space="preserve">Проценты в [0;100]</t>
  </si>
  <si>
    <t xml:space="preserve">Все процентные метрики в норме</t>
  </si>
  <si>
    <t xml:space="preserve">Знаменатели</t>
  </si>
  <si>
    <t xml:space="preserve">Невозможных соотношений не обнаружено</t>
  </si>
  <si>
    <t xml:space="preserve">Порядок величины</t>
  </si>
  <si>
    <t xml:space="preserve">Общий доход 52,781.40 ₽ — в разумном диапазоне</t>
  </si>
  <si>
    <t xml:space="preserve">Устройства с 0 ₽</t>
  </si>
  <si>
    <t xml:space="preserve">37 устр. (4.6%) с 0 ₽ — в норме</t>
  </si>
  <si>
    <t xml:space="preserve">Average of averages</t>
  </si>
  <si>
    <t xml:space="preserve">Средний доход/устр посчитан корректно: total/total_dev = 66 ₽ (не путать с mean(per_emp) = 63 ₽).</t>
  </si>
  <si>
    <t xml:space="preserve">ИТОГО</t>
  </si>
  <si>
    <t xml:space="preserve">13 PASS</t>
  </si>
  <si>
    <t xml:space="preserve">5 WARN</t>
  </si>
  <si>
    <t xml:space="preserve">0 FAIL</t>
  </si>
  <si>
    <t xml:space="preserve">Рейтинг сотрудников по доходу</t>
  </si>
  <si>
    <t xml:space="preserve">Место</t>
  </si>
  <si>
    <t xml:space="preserve">Сотрудник</t>
  </si>
  <si>
    <t xml:space="preserve">Доход, ₽</t>
  </si>
  <si>
    <t xml:space="preserve">Доля, %</t>
  </si>
  <si>
    <t xml:space="preserve">Устройств</t>
  </si>
  <si>
    <t xml:space="preserve">Доход/устр, ₽</t>
  </si>
  <si>
    <t xml:space="preserve">WhatsApp, ₽</t>
  </si>
  <si>
    <t xml:space="preserve">Regular, ₽</t>
  </si>
  <si>
    <t xml:space="preserve">Kakao, ₽</t>
  </si>
  <si>
    <t xml:space="preserve">Click, ₽</t>
  </si>
  <si>
    <t xml:space="preserve">Кодов</t>
  </si>
  <si>
    <t xml:space="preserve">Армен</t>
  </si>
  <si>
    <t xml:space="preserve">Бенз</t>
  </si>
  <si>
    <t xml:space="preserve">Достижение цели · 50 ₽ на устройство в сутки</t>
  </si>
  <si>
    <t xml:space="preserve">Период, сут</t>
  </si>
  <si>
    <t xml:space="preserve">Цель, ₽/устр/сутки</t>
  </si>
  <si>
    <t xml:space="preserve">Факт, ₽/устр/сутки</t>
  </si>
  <si>
    <t xml:space="preserve">Отклонение, ₽/сутки</t>
  </si>
  <si>
    <t xml:space="preserve">План за период, ₽</t>
  </si>
  <si>
    <t xml:space="preserve">Факт за период, ₽</t>
  </si>
  <si>
    <t xml:space="preserve">Отклонение за период, ₽</t>
  </si>
  <si>
    <t xml:space="preserve">Выполнение, %</t>
  </si>
  <si>
    <t xml:space="preserve">ИТОГО по компании</t>
  </si>
  <si>
    <t xml:space="preserve">Как считается:</t>
  </si>
  <si>
    <t xml:space="preserve">• Цель — 50 ₽ на каждое устройство в сутки</t>
  </si>
  <si>
    <t xml:space="preserve">• План за период = Цель × Устройств × Период в сутках</t>
  </si>
  <si>
    <t xml:space="preserve">• Период наблюдения у каждого сотрудника свой (от max до min Timestamp)</t>
  </si>
  <si>
    <t xml:space="preserve">• Зелёный = ≥100% плана; Жёлтый = 50-99%; Красный = &lt;50%</t>
  </si>
  <si>
    <t xml:space="preserve">Качество работы по сотрудникам</t>
  </si>
  <si>
    <t xml:space="preserve">Click брак, %</t>
  </si>
  <si>
    <t xml:space="preserve">WA бан, %</t>
  </si>
  <si>
    <t xml:space="preserve">WA доставка, %</t>
  </si>
  <si>
    <t xml:space="preserve">Reg доставка, %</t>
  </si>
  <si>
    <t xml:space="preserve">Reg код/старт, %</t>
  </si>
  <si>
    <t xml:space="preserve">Kakao код/старт, %</t>
  </si>
  <si>
    <t xml:space="preserve">WA акк</t>
  </si>
  <si>
    <t xml:space="preserve">WA банов</t>
  </si>
  <si>
    <t xml:space="preserve">Reg кодов</t>
  </si>
  <si>
    <t xml:space="preserve">Kakao кодов</t>
  </si>
  <si>
    <t xml:space="preserve">Утилизация устройств</t>
  </si>
  <si>
    <t xml:space="preserve">Активных 24ч</t>
  </si>
  <si>
    <t xml:space="preserve">% активных</t>
  </si>
  <si>
    <t xml:space="preserve">Нулевых</t>
  </si>
  <si>
    <t xml:space="preserve">% нулевых</t>
  </si>
  <si>
    <t xml:space="preserve">Мёртвых</t>
  </si>
  <si>
    <t xml:space="preserve">% мёртвых</t>
  </si>
  <si>
    <t xml:space="preserve">Эффективность по API Key (платформам)</t>
  </si>
  <si>
    <t xml:space="preserve">API Key</t>
  </si>
  <si>
    <t xml:space="preserve">Доля сотрудника</t>
  </si>
  <si>
    <t xml:space="preserve">VIBPC2</t>
  </si>
  <si>
    <t xml:space="preserve">VIBPC1</t>
  </si>
  <si>
    <t xml:space="preserve">VINDIESEL</t>
  </si>
  <si>
    <t xml:space="preserve">HANOI</t>
  </si>
  <si>
    <t xml:space="preserve">NHATRANG</t>
  </si>
  <si>
    <t xml:space="preserve">VIBPC3</t>
  </si>
  <si>
    <t xml:space="preserve">KUSKO</t>
  </si>
  <si>
    <t xml:space="preserve">OBIVAN</t>
  </si>
  <si>
    <t xml:space="preserve">HOSHIMIN</t>
  </si>
  <si>
    <t xml:space="preserve">BANDIT73</t>
  </si>
  <si>
    <t xml:space="preserve">APRIL</t>
  </si>
  <si>
    <t xml:space="preserve">MEGATRON</t>
  </si>
  <si>
    <t xml:space="preserve">RAGNAR</t>
  </si>
  <si>
    <t xml:space="preserve">AZA</t>
  </si>
  <si>
    <t xml:space="preserve">LIMA</t>
  </si>
  <si>
    <t xml:space="preserve">DALAT</t>
  </si>
  <si>
    <t xml:space="preserve">MEGAN</t>
  </si>
  <si>
    <t xml:space="preserve">ELIZAJANE</t>
  </si>
  <si>
    <t xml:space="preserve">KLAVACOCA</t>
  </si>
  <si>
    <t xml:space="preserve">DIEGO</t>
  </si>
  <si>
    <t xml:space="preserve">TOMYAM</t>
  </si>
  <si>
    <t xml:space="preserve">PUMA</t>
  </si>
  <si>
    <t xml:space="preserve">OTEC</t>
  </si>
  <si>
    <t xml:space="preserve">ADIDAS</t>
  </si>
  <si>
    <t xml:space="preserve">SASHAGREY</t>
  </si>
  <si>
    <t xml:space="preserve">STARLIGHT</t>
  </si>
  <si>
    <t xml:space="preserve">HOMELANDER</t>
  </si>
  <si>
    <t xml:space="preserve">KZ</t>
  </si>
  <si>
    <t xml:space="preserve">HANSOLO</t>
  </si>
  <si>
    <t xml:space="preserve">RENTGEN</t>
  </si>
  <si>
    <t xml:space="preserve">DESKTOP-LV446TA</t>
  </si>
  <si>
    <t xml:space="preserve">DANANG</t>
  </si>
  <si>
    <t xml:space="preserve">TLT_02</t>
  </si>
  <si>
    <t xml:space="preserve">TLT_04</t>
  </si>
  <si>
    <t xml:space="preserve">TLT_01</t>
  </si>
  <si>
    <t xml:space="preserve">GARIBALDI</t>
  </si>
  <si>
    <t xml:space="preserve">TLT_03</t>
  </si>
  <si>
    <t xml:space="preserve">BABAI</t>
  </si>
  <si>
    <t xml:space="preserve">SVALKA</t>
  </si>
  <si>
    <t xml:space="preserve">OPTIMUS</t>
  </si>
  <si>
    <t xml:space="preserve">Топ устройств по доходу</t>
  </si>
  <si>
    <t xml:space="preserve">#</t>
  </si>
  <si>
    <t xml:space="preserve">Ext ID</t>
  </si>
  <si>
    <t xml:space="preserve">Модель</t>
  </si>
  <si>
    <t xml:space="preserve">WA, ₽</t>
  </si>
  <si>
    <t xml:space="preserve">FA6BS0301997</t>
  </si>
  <si>
    <t xml:space="preserve">sailfish ver.10</t>
  </si>
  <si>
    <t xml:space="preserve">1c91930e31047ece</t>
  </si>
  <si>
    <t xml:space="preserve">star2lte ver.11</t>
  </si>
  <si>
    <t xml:space="preserve">ce0917192947ac6e0c</t>
  </si>
  <si>
    <t xml:space="preserve">dreamlteks ver.9</t>
  </si>
  <si>
    <t xml:space="preserve">25c17b8d7d1c7ece</t>
  </si>
  <si>
    <t xml:space="preserve">RF8R31WN9NB</t>
  </si>
  <si>
    <t xml:space="preserve">a21s ver.12</t>
  </si>
  <si>
    <t xml:space="preserve">4551434554433098</t>
  </si>
  <si>
    <t xml:space="preserve">star2qltesq ver.10</t>
  </si>
  <si>
    <t xml:space="preserve">2575d40d221c7ece</t>
  </si>
  <si>
    <t xml:space="preserve">RF8N7351SVV</t>
  </si>
  <si>
    <t xml:space="preserve">R58N407X57M</t>
  </si>
  <si>
    <t xml:space="preserve">a20 ver.11</t>
  </si>
  <si>
    <t xml:space="preserve">3854465a4d503098</t>
  </si>
  <si>
    <t xml:space="preserve">2575d410011c7ece</t>
  </si>
  <si>
    <t xml:space="preserve">R58NB3CHLRF</t>
  </si>
  <si>
    <t xml:space="preserve">23f80ae09c0c7ece</t>
  </si>
  <si>
    <t xml:space="preserve">41564f454f363098</t>
  </si>
  <si>
    <t xml:space="preserve">R58N8099GJX</t>
  </si>
  <si>
    <t xml:space="preserve">a10 ver.11</t>
  </si>
  <si>
    <t xml:space="preserve">RZ8M70FH09Y</t>
  </si>
  <si>
    <t xml:space="preserve">R58N21VWD2Y</t>
  </si>
  <si>
    <t xml:space="preserve">r12s ver.15</t>
  </si>
  <si>
    <t xml:space="preserve">RF8N61Z0S6X</t>
  </si>
  <si>
    <t xml:space="preserve">R58N40AM4BD</t>
  </si>
  <si>
    <t xml:space="preserve">RF8R31WS5BR</t>
  </si>
  <si>
    <t xml:space="preserve">RF8N73CRQSZ</t>
  </si>
  <si>
    <t xml:space="preserve">R58N33F9XLH</t>
  </si>
  <si>
    <t xml:space="preserve">RF8N7381HYP</t>
  </si>
  <si>
    <t xml:space="preserve">R58N40ALAEY</t>
  </si>
  <si>
    <t xml:space="preserve">3331474255313098</t>
  </si>
  <si>
    <t xml:space="preserve">RF8R31WTLFL</t>
  </si>
  <si>
    <t xml:space="preserve">R9HT500JE9X</t>
  </si>
  <si>
    <t xml:space="preserve">a03 ver.13</t>
  </si>
  <si>
    <t xml:space="preserve">R9HT500H54V</t>
  </si>
  <si>
    <t xml:space="preserve">RF8R31WTTAP</t>
  </si>
  <si>
    <t xml:space="preserve">RF8R31WR89B</t>
  </si>
  <si>
    <t xml:space="preserve">Персональные рекомендации</t>
  </si>
  <si>
    <t xml:space="preserve">Сильные стороны</t>
  </si>
  <si>
    <t xml:space="preserve">Что улучшить</t>
  </si>
  <si>
    <t xml:space="preserve">Оговорки о надёжности</t>
  </si>
  <si>
    <t xml:space="preserve">Высокая эффективность: 104 ₽/устр (выше медианы) • Отличная доставка WA: 92.0% • Сильный Kakao: 18.9% код/старт</t>
  </si>
  <si>
    <t xml:space="preserve">Недовыполнение цели: 35 ₽/устр/сутки (71% плана), не хватает 15 ₽/устр/сутки до цели • Высокий бан WA-аккаунтов: 15.8% — снизить частоту/прогрев</t>
  </si>
  <si>
    <t xml:space="preserve">—</t>
  </si>
  <si>
    <t xml:space="preserve">Стабильная работа без особых выбросов</t>
  </si>
  <si>
    <t xml:space="preserve">Недовыполнение цели: 39 ₽/устр/сутки (79% плана), не хватает 11 ₽/устр/сутки до цели</t>
  </si>
  <si>
    <t xml:space="preserve">Чистый Click-трафик: брак 23.0%</t>
  </si>
  <si>
    <t xml:space="preserve">Серьёзное недовыполнение: 22 ₽/устр/сутки (43% плана) — парк работает в 0.4× ниже цели 50 ₽/устр/сутки</t>
  </si>
  <si>
    <t xml:space="preserve">Серьёзное недовыполнение: 13 ₽/устр/сутки (26% плана) — парк работает в 0.3× ниже цели 50 ₽/устр/сутки • Много 'мёртвых' устройств: 11 шт (9.4%) — разобрать или починить</t>
  </si>
  <si>
    <t xml:space="preserve">Сильный Kakao: 18.4% код/старт • Бережно с аккаунтами WA: бан 6.3%</t>
  </si>
  <si>
    <t xml:space="preserve">Серьёзное недовыполнение: 19 ₽/устр/сутки (39% плана) — парк работает в 0.4× ниже цели 50 ₽/устр/сутки • Низкая эффективность: 39 ₽/устр (ниже медианы) • Высокий брак Click: 71.6% — пересобрать сценарий или отключить</t>
  </si>
  <si>
    <t xml:space="preserve">Сильный Kakao: 40.3% код/старт</t>
  </si>
  <si>
    <t xml:space="preserve">Серьёзное недовыполнение: 21 ₽/устр/сутки (43% плана) — парк работает в 0.4× ниже цели 50 ₽/устр/сутки • Высокий брак Click: 83.4% — пересобрать сценарий или отключить</t>
  </si>
  <si>
    <t xml:space="preserve">мало WA-аккаунтов (32) — оценка бана/доставки шумная</t>
  </si>
  <si>
    <t xml:space="preserve">Чистый Click-трафик: брак 25.6%</t>
  </si>
  <si>
    <t xml:space="preserve">Серьёзное недовыполнение: 31 ₽/устр/сутки (62% плана) — парк работает в 0.6× ниже цели 50 ₽/устр/сутки</t>
  </si>
  <si>
    <t xml:space="preserve">Серьёзное недовыполнение: 20 ₽/устр/сутки (40% плана) — парк работает в 0.4× ниже цели 50 ₽/устр/сутки • Много 'мёртвых' устройств: 3 шт (6.8%) — разобрать или починить • Низкая активность парка: 7% за 24ч</t>
  </si>
  <si>
    <t xml:space="preserve">Эффективность по моделям устройств</t>
  </si>
  <si>
    <t xml:space="preserve">a20</t>
  </si>
  <si>
    <t xml:space="preserve">a21s</t>
  </si>
  <si>
    <t xml:space="preserve">star2lte</t>
  </si>
  <si>
    <t xml:space="preserve">a04e</t>
  </si>
  <si>
    <t xml:space="preserve">star2qltesq</t>
  </si>
  <si>
    <t xml:space="preserve">a05m</t>
  </si>
  <si>
    <t xml:space="preserve">r12s</t>
  </si>
  <si>
    <t xml:space="preserve">a03</t>
  </si>
  <si>
    <t xml:space="preserve">a04</t>
  </si>
  <si>
    <t xml:space="preserve">a10</t>
  </si>
  <si>
    <t xml:space="preserve">p3s</t>
  </si>
  <si>
    <t xml:space="preserve">dreamlte</t>
  </si>
  <si>
    <t xml:space="preserve">a07</t>
  </si>
  <si>
    <t xml:space="preserve">dreamlteks</t>
  </si>
  <si>
    <t xml:space="preserve">beyond1q</t>
  </si>
  <si>
    <t xml:space="preserve">sailfish</t>
  </si>
  <si>
    <t xml:space="preserve">a06</t>
  </si>
  <si>
    <t xml:space="preserve">r7</t>
  </si>
  <si>
    <t xml:space="preserve">beyond2q</t>
  </si>
  <si>
    <t xml:space="preserve">a03s</t>
  </si>
  <si>
    <t xml:space="preserve">m11q</t>
  </si>
  <si>
    <t xml:space="preserve">a11q</t>
  </si>
  <si>
    <t xml:space="preserve">universal9830</t>
  </si>
  <si>
    <t xml:space="preserve">y2s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</si>
</sst>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&quot; ₽&quot;"/>
    <numFmt numFmtId="166" formatCode="0.0\%"/>
    <numFmt numFmtId="167" formatCode="#,##0"/>
    <numFmt numFmtId="168" formatCode="0.00"/>
    <numFmt numFmtId="169" formatCode="\+#,##0.00&quot; ₽&quot;;\-#,##0.00&quot; ₽&quot;;0.00&quot; ₽&quot;"/>
    <numFmt numFmtId="170" formatCode="0.0%"/>
    <numFmt numFmtId="171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9C57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BF8F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b val="true"/>
      <sz val="12"/>
      <color rgb="FF9C5700"/>
      <name val="Arial"/>
      <family val="0"/>
      <charset val="1"/>
    </font>
    <font>
      <b val="true"/>
      <sz val="11"/>
      <color rgb="FF9C000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5"/>
  </cols>
  <sheetData>
    <row r="1" customFormat="false" ht="27.75" hidden="false" customHeight="true" outlineLevel="0" collapsed="false">
      <c r="A1" s="1" t="s">
        <v>0</v>
      </c>
      <c r="B1" s="1"/>
    </row>
    <row r="3" customFormat="false" ht="21.75" hidden="false" customHeight="true" outlineLevel="0" collapsed="false">
      <c r="A3" s="2" t="s">
        <v>1</v>
      </c>
      <c r="B3" s="3"/>
    </row>
    <row r="4" customFormat="false" ht="21.75" hidden="false" customHeight="true" outlineLevel="0" collapsed="false">
      <c r="A4" s="4" t="s">
        <v>2</v>
      </c>
      <c r="B4" s="4" t="s">
        <v>3</v>
      </c>
    </row>
    <row r="5" customFormat="false" ht="21.75" hidden="false" customHeight="true" outlineLevel="0" collapsed="false">
      <c r="A5" s="3" t="s">
        <v>4</v>
      </c>
      <c r="B5" s="3" t="s">
        <v>5</v>
      </c>
    </row>
    <row r="6" customFormat="false" ht="21.75" hidden="false" customHeight="true" outlineLevel="0" collapsed="false">
      <c r="A6" s="3" t="s">
        <v>6</v>
      </c>
      <c r="B6" s="3" t="s">
        <v>7</v>
      </c>
    </row>
    <row r="7" customFormat="false" ht="21.75" hidden="false" customHeight="true" outlineLevel="0" collapsed="false">
      <c r="A7" s="3"/>
      <c r="B7" s="3"/>
    </row>
    <row r="8" customFormat="false" ht="21.75" hidden="false" customHeight="true" outlineLevel="0" collapsed="false">
      <c r="A8" s="5" t="s">
        <v>8</v>
      </c>
      <c r="B8" s="3" t="s">
        <v>9</v>
      </c>
    </row>
    <row r="9" customFormat="false" ht="21.75" hidden="false" customHeight="true" outlineLevel="0" collapsed="false">
      <c r="A9" s="5" t="s">
        <v>10</v>
      </c>
      <c r="B9" s="3" t="s">
        <v>11</v>
      </c>
    </row>
    <row r="10" customFormat="false" ht="21.75" hidden="false" customHeight="true" outlineLevel="0" collapsed="false">
      <c r="A10" s="3" t="s">
        <v>12</v>
      </c>
      <c r="B10" s="3" t="s">
        <v>13</v>
      </c>
    </row>
    <row r="11" customFormat="false" ht="21.75" hidden="false" customHeight="true" outlineLevel="0" collapsed="false">
      <c r="A11" s="3" t="s">
        <v>14</v>
      </c>
      <c r="B11" s="3" t="s">
        <v>15</v>
      </c>
    </row>
    <row r="12" customFormat="false" ht="21.75" hidden="false" customHeight="true" outlineLevel="0" collapsed="false">
      <c r="A12" s="3" t="s">
        <v>16</v>
      </c>
      <c r="B12" s="3" t="s">
        <v>17</v>
      </c>
    </row>
    <row r="13" customFormat="false" ht="21.75" hidden="false" customHeight="true" outlineLevel="0" collapsed="false">
      <c r="A13" s="3" t="s">
        <v>18</v>
      </c>
      <c r="B13" s="3" t="s">
        <v>19</v>
      </c>
    </row>
    <row r="14" customFormat="false" ht="21.75" hidden="false" customHeight="true" outlineLevel="0" collapsed="false">
      <c r="A14" s="3" t="s">
        <v>20</v>
      </c>
      <c r="B14" s="3" t="s">
        <v>21</v>
      </c>
    </row>
    <row r="15" customFormat="false" ht="21.75" hidden="false" customHeight="true" outlineLevel="0" collapsed="false">
      <c r="A15" s="3"/>
      <c r="B15" s="3"/>
    </row>
    <row r="16" customFormat="false" ht="21.75" hidden="false" customHeight="true" outlineLevel="0" collapsed="false">
      <c r="A16" s="2" t="s">
        <v>22</v>
      </c>
      <c r="B16" s="3"/>
    </row>
    <row r="17" customFormat="false" ht="21.75" hidden="false" customHeight="true" outlineLevel="0" collapsed="false">
      <c r="A17" s="3" t="s">
        <v>23</v>
      </c>
      <c r="B17" s="3" t="s">
        <v>24</v>
      </c>
    </row>
    <row r="18" customFormat="false" ht="21.75" hidden="false" customHeight="true" outlineLevel="0" collapsed="false">
      <c r="A18" s="3" t="s">
        <v>25</v>
      </c>
      <c r="B18" s="3" t="s">
        <v>26</v>
      </c>
    </row>
    <row r="19" customFormat="false" ht="21.75" hidden="false" customHeight="true" outlineLevel="0" collapsed="false">
      <c r="A19" s="3" t="s">
        <v>27</v>
      </c>
      <c r="B19" s="3" t="s">
        <v>28</v>
      </c>
    </row>
    <row r="20" customFormat="false" ht="21.75" hidden="false" customHeight="true" outlineLevel="0" collapsed="false">
      <c r="A20" s="3" t="s">
        <v>29</v>
      </c>
      <c r="B20" s="3" t="s">
        <v>30</v>
      </c>
    </row>
    <row r="21" customFormat="false" ht="21.75" hidden="false" customHeight="true" outlineLevel="0" collapsed="false">
      <c r="A21" s="3" t="s">
        <v>31</v>
      </c>
      <c r="B21" s="3" t="s">
        <v>11</v>
      </c>
    </row>
    <row r="22" customFormat="false" ht="21.75" hidden="false" customHeight="true" outlineLevel="0" collapsed="false">
      <c r="A22" s="3" t="s">
        <v>32</v>
      </c>
      <c r="B22" s="3" t="s">
        <v>33</v>
      </c>
    </row>
    <row r="23" customFormat="false" ht="21.75" hidden="false" customHeight="true" outlineLevel="0" collapsed="false">
      <c r="A23" s="3" t="s">
        <v>34</v>
      </c>
      <c r="B23" s="3" t="s">
        <v>35</v>
      </c>
    </row>
    <row r="24" customFormat="false" ht="21.75" hidden="false" customHeight="true" outlineLevel="0" collapsed="false">
      <c r="A24" s="3" t="s">
        <v>36</v>
      </c>
      <c r="B24" s="3" t="s">
        <v>37</v>
      </c>
    </row>
    <row r="25" customFormat="false" ht="21.75" hidden="false" customHeight="true" outlineLevel="0" collapsed="false">
      <c r="A25" s="3"/>
      <c r="B25" s="3"/>
    </row>
    <row r="26" customFormat="false" ht="21.75" hidden="false" customHeight="true" outlineLevel="0" collapsed="false">
      <c r="A26" s="2" t="s">
        <v>38</v>
      </c>
      <c r="B26" s="3"/>
    </row>
    <row r="27" customFormat="false" ht="21.75" hidden="false" customHeight="true" outlineLevel="0" collapsed="false">
      <c r="A27" s="3" t="s">
        <v>39</v>
      </c>
      <c r="B27" s="3" t="s">
        <v>40</v>
      </c>
    </row>
    <row r="28" customFormat="false" ht="21.75" hidden="false" customHeight="true" outlineLevel="0" collapsed="false">
      <c r="A28" s="3" t="s">
        <v>41</v>
      </c>
      <c r="B28" s="3" t="s">
        <v>42</v>
      </c>
    </row>
    <row r="29" customFormat="false" ht="21.75" hidden="false" customHeight="true" outlineLevel="0" collapsed="false">
      <c r="A29" s="3" t="s">
        <v>43</v>
      </c>
      <c r="B29" s="3" t="s">
        <v>44</v>
      </c>
    </row>
    <row r="30" customFormat="false" ht="21.75" hidden="false" customHeight="true" outlineLevel="0" collapsed="false">
      <c r="A30" s="3" t="s">
        <v>45</v>
      </c>
      <c r="B30" s="3" t="s">
        <v>46</v>
      </c>
    </row>
    <row r="31" customFormat="false" ht="21.75" hidden="false" customHeight="true" outlineLevel="0" collapsed="false">
      <c r="A31" s="3" t="s">
        <v>47</v>
      </c>
      <c r="B31" s="3" t="s">
        <v>48</v>
      </c>
    </row>
    <row r="32" customFormat="false" ht="21.75" hidden="false" customHeight="true" outlineLevel="0" collapsed="false">
      <c r="A32" s="3" t="s">
        <v>49</v>
      </c>
      <c r="B32" s="3" t="s">
        <v>50</v>
      </c>
    </row>
    <row r="33" customFormat="false" ht="21.75" hidden="false" customHeight="true" outlineLevel="0" collapsed="false">
      <c r="A33" s="3"/>
      <c r="B33" s="3"/>
    </row>
    <row r="34" customFormat="false" ht="21.75" hidden="false" customHeight="true" outlineLevel="0" collapsed="false">
      <c r="A34" s="2" t="s">
        <v>51</v>
      </c>
      <c r="B34" s="3"/>
    </row>
    <row r="35" customFormat="false" ht="21.75" hidden="false" customHeight="true" outlineLevel="0" collapsed="false">
      <c r="A35" s="3" t="s">
        <v>52</v>
      </c>
      <c r="B35" s="3" t="s">
        <v>53</v>
      </c>
    </row>
    <row r="36" customFormat="false" ht="21.75" hidden="false" customHeight="true" outlineLevel="0" collapsed="false">
      <c r="A36" s="3" t="s">
        <v>54</v>
      </c>
      <c r="B36" s="3" t="s">
        <v>55</v>
      </c>
    </row>
    <row r="37" customFormat="false" ht="21.75" hidden="false" customHeight="true" outlineLevel="0" collapsed="false">
      <c r="A37" s="3" t="s">
        <v>56</v>
      </c>
      <c r="B37" s="3" t="s">
        <v>57</v>
      </c>
    </row>
    <row r="38" customFormat="false" ht="21.75" hidden="false" customHeight="true" outlineLevel="0" collapsed="false">
      <c r="A38" s="3"/>
      <c r="B38" s="3"/>
    </row>
    <row r="39" customFormat="false" ht="21.75" hidden="false" customHeight="true" outlineLevel="0" collapsed="false">
      <c r="A39" s="2" t="s">
        <v>58</v>
      </c>
      <c r="B39" s="3"/>
    </row>
    <row r="40" customFormat="false" ht="21.75" hidden="false" customHeight="true" outlineLevel="0" collapsed="false">
      <c r="A40" s="3" t="s">
        <v>59</v>
      </c>
      <c r="B40" s="3" t="s">
        <v>60</v>
      </c>
    </row>
    <row r="41" customFormat="false" ht="21.75" hidden="false" customHeight="true" outlineLevel="0" collapsed="false">
      <c r="A41" s="3" t="s">
        <v>61</v>
      </c>
      <c r="B41" s="3" t="s">
        <v>62</v>
      </c>
    </row>
    <row r="42" customFormat="false" ht="21.75" hidden="false" customHeight="true" outlineLevel="0" collapsed="false">
      <c r="A42" s="3" t="s">
        <v>63</v>
      </c>
      <c r="B42" s="3" t="s">
        <v>64</v>
      </c>
    </row>
    <row r="43" customFormat="false" ht="21.75" hidden="false" customHeight="true" outlineLevel="0" collapsed="false">
      <c r="A43" s="3"/>
      <c r="B43" s="3"/>
    </row>
    <row r="44" customFormat="false" ht="21.75" hidden="false" customHeight="true" outlineLevel="0" collapsed="false">
      <c r="A44" s="2" t="s">
        <v>65</v>
      </c>
      <c r="B44" s="3"/>
    </row>
    <row r="45" customFormat="false" ht="21.75" hidden="false" customHeight="true" outlineLevel="0" collapsed="false">
      <c r="A45" s="3" t="s">
        <v>66</v>
      </c>
      <c r="B45" s="3" t="s">
        <v>67</v>
      </c>
    </row>
    <row r="46" customFormat="false" ht="21.75" hidden="false" customHeight="true" outlineLevel="0" collapsed="false">
      <c r="A46" s="3" t="s">
        <v>66</v>
      </c>
      <c r="B46" s="3" t="s">
        <v>68</v>
      </c>
    </row>
    <row r="47" customFormat="false" ht="21.75" hidden="false" customHeight="true" outlineLevel="0" collapsed="false">
      <c r="A47" s="3" t="s">
        <v>66</v>
      </c>
      <c r="B47" s="3" t="s">
        <v>69</v>
      </c>
    </row>
    <row r="48" customFormat="false" ht="21.75" hidden="false" customHeight="true" outlineLevel="0" collapsed="false">
      <c r="A48" s="3" t="s">
        <v>66</v>
      </c>
      <c r="B48" s="3" t="s">
        <v>70</v>
      </c>
    </row>
    <row r="49" customFormat="false" ht="21.75" hidden="false" customHeight="true" outlineLevel="0" collapsed="false">
      <c r="A49" s="3" t="s">
        <v>66</v>
      </c>
      <c r="B49" s="3" t="s">
        <v>71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27.75" hidden="false" customHeight="true" outlineLevel="0" collapsed="false">
      <c r="A1" s="1" t="s">
        <v>72</v>
      </c>
      <c r="B1" s="1"/>
      <c r="C1" s="1"/>
      <c r="D1" s="1"/>
      <c r="E1" s="1"/>
    </row>
    <row r="3" customFormat="false" ht="31.5" hidden="false" customHeight="true" outlineLevel="0" collapsed="false">
      <c r="A3" s="6" t="s">
        <v>73</v>
      </c>
      <c r="B3" s="6" t="s">
        <v>74</v>
      </c>
      <c r="C3" s="6" t="s">
        <v>75</v>
      </c>
      <c r="D3" s="6" t="s">
        <v>76</v>
      </c>
      <c r="E3" s="6" t="s">
        <v>77</v>
      </c>
    </row>
    <row r="4" customFormat="false" ht="49.5" hidden="false" customHeight="true" outlineLevel="0" collapsed="false">
      <c r="A4" s="7" t="s">
        <v>78</v>
      </c>
      <c r="B4" s="8" t="s">
        <v>79</v>
      </c>
      <c r="C4" s="9" t="s">
        <v>80</v>
      </c>
      <c r="D4" s="10" t="s">
        <v>81</v>
      </c>
      <c r="E4" s="11" t="s">
        <v>82</v>
      </c>
    </row>
    <row r="5" customFormat="false" ht="49.5" hidden="false" customHeight="true" outlineLevel="0" collapsed="false">
      <c r="A5" s="7" t="s">
        <v>83</v>
      </c>
      <c r="B5" s="8" t="s">
        <v>84</v>
      </c>
      <c r="C5" s="9" t="s">
        <v>80</v>
      </c>
      <c r="D5" s="10" t="s">
        <v>81</v>
      </c>
      <c r="E5" s="11" t="s">
        <v>85</v>
      </c>
    </row>
    <row r="6" customFormat="false" ht="34.5" hidden="false" customHeight="true" outlineLevel="0" collapsed="false">
      <c r="A6" s="7" t="s">
        <v>86</v>
      </c>
      <c r="B6" s="8" t="s">
        <v>87</v>
      </c>
      <c r="C6" s="9" t="s">
        <v>80</v>
      </c>
      <c r="D6" s="12" t="s">
        <v>88</v>
      </c>
      <c r="E6" s="11" t="s">
        <v>89</v>
      </c>
    </row>
    <row r="7" customFormat="false" ht="34.5" hidden="false" customHeight="true" outlineLevel="0" collapsed="false">
      <c r="A7" s="7" t="s">
        <v>90</v>
      </c>
      <c r="B7" s="8" t="s">
        <v>91</v>
      </c>
      <c r="C7" s="9" t="s">
        <v>80</v>
      </c>
      <c r="D7" s="12" t="s">
        <v>88</v>
      </c>
      <c r="E7" s="11" t="s">
        <v>92</v>
      </c>
    </row>
    <row r="8" customFormat="false" ht="64.5" hidden="false" customHeight="true" outlineLevel="0" collapsed="false">
      <c r="A8" s="7" t="s">
        <v>78</v>
      </c>
      <c r="B8" s="8" t="s">
        <v>93</v>
      </c>
      <c r="C8" s="9" t="s">
        <v>80</v>
      </c>
      <c r="D8" s="12" t="s">
        <v>88</v>
      </c>
      <c r="E8" s="11" t="s">
        <v>94</v>
      </c>
    </row>
    <row r="9" customFormat="false" ht="34.5" hidden="false" customHeight="true" outlineLevel="0" collapsed="false">
      <c r="A9" s="7" t="s">
        <v>95</v>
      </c>
      <c r="B9" s="8" t="s">
        <v>96</v>
      </c>
      <c r="C9" s="13" t="s">
        <v>97</v>
      </c>
      <c r="D9" s="10" t="s">
        <v>81</v>
      </c>
      <c r="E9" s="11" t="s">
        <v>98</v>
      </c>
    </row>
    <row r="10" customFormat="false" ht="34.5" hidden="false" customHeight="true" outlineLevel="0" collapsed="false">
      <c r="A10" s="7" t="s">
        <v>86</v>
      </c>
      <c r="B10" s="8" t="s">
        <v>99</v>
      </c>
      <c r="C10" s="13" t="s">
        <v>97</v>
      </c>
      <c r="D10" s="14" t="s">
        <v>100</v>
      </c>
      <c r="E10" s="11" t="s">
        <v>101</v>
      </c>
    </row>
    <row r="11" customFormat="false" ht="19.5" hidden="false" customHeight="true" outlineLevel="0" collapsed="false">
      <c r="A11" s="7" t="s">
        <v>86</v>
      </c>
      <c r="B11" s="8" t="s">
        <v>102</v>
      </c>
      <c r="C11" s="13" t="s">
        <v>97</v>
      </c>
      <c r="D11" s="14" t="s">
        <v>100</v>
      </c>
      <c r="E11" s="11" t="s">
        <v>103</v>
      </c>
    </row>
    <row r="12" customFormat="false" ht="19.5" hidden="false" customHeight="true" outlineLevel="0" collapsed="false">
      <c r="A12" s="7" t="s">
        <v>86</v>
      </c>
      <c r="B12" s="8" t="s">
        <v>104</v>
      </c>
      <c r="C12" s="13" t="s">
        <v>97</v>
      </c>
      <c r="D12" s="14" t="s">
        <v>100</v>
      </c>
      <c r="E12" s="11" t="s">
        <v>105</v>
      </c>
    </row>
    <row r="13" customFormat="false" ht="19.5" hidden="false" customHeight="true" outlineLevel="0" collapsed="false">
      <c r="A13" s="7" t="s">
        <v>86</v>
      </c>
      <c r="B13" s="8" t="s">
        <v>106</v>
      </c>
      <c r="C13" s="13" t="s">
        <v>97</v>
      </c>
      <c r="D13" s="14" t="s">
        <v>100</v>
      </c>
      <c r="E13" s="11" t="s">
        <v>107</v>
      </c>
    </row>
    <row r="14" customFormat="false" ht="19.5" hidden="false" customHeight="true" outlineLevel="0" collapsed="false">
      <c r="A14" s="7" t="s">
        <v>86</v>
      </c>
      <c r="B14" s="8" t="s">
        <v>108</v>
      </c>
      <c r="C14" s="13" t="s">
        <v>97</v>
      </c>
      <c r="D14" s="14" t="s">
        <v>100</v>
      </c>
      <c r="E14" s="11" t="s">
        <v>109</v>
      </c>
    </row>
    <row r="15" customFormat="false" ht="19.5" hidden="false" customHeight="true" outlineLevel="0" collapsed="false">
      <c r="A15" s="7" t="s">
        <v>86</v>
      </c>
      <c r="B15" s="8" t="s">
        <v>110</v>
      </c>
      <c r="C15" s="13" t="s">
        <v>97</v>
      </c>
      <c r="D15" s="14" t="s">
        <v>100</v>
      </c>
      <c r="E15" s="11" t="s">
        <v>111</v>
      </c>
    </row>
    <row r="16" customFormat="false" ht="19.5" hidden="false" customHeight="true" outlineLevel="0" collapsed="false">
      <c r="A16" s="7" t="s">
        <v>95</v>
      </c>
      <c r="B16" s="8" t="s">
        <v>112</v>
      </c>
      <c r="C16" s="13" t="s">
        <v>97</v>
      </c>
      <c r="D16" s="14" t="s">
        <v>100</v>
      </c>
      <c r="E16" s="11" t="s">
        <v>113</v>
      </c>
    </row>
    <row r="17" customFormat="false" ht="19.5" hidden="false" customHeight="true" outlineLevel="0" collapsed="false">
      <c r="A17" s="7" t="s">
        <v>95</v>
      </c>
      <c r="B17" s="8" t="s">
        <v>114</v>
      </c>
      <c r="C17" s="13" t="s">
        <v>97</v>
      </c>
      <c r="D17" s="14" t="s">
        <v>100</v>
      </c>
      <c r="E17" s="11" t="s">
        <v>115</v>
      </c>
    </row>
    <row r="18" customFormat="false" ht="19.5" hidden="false" customHeight="true" outlineLevel="0" collapsed="false">
      <c r="A18" s="7" t="s">
        <v>95</v>
      </c>
      <c r="B18" s="8" t="s">
        <v>116</v>
      </c>
      <c r="C18" s="13" t="s">
        <v>97</v>
      </c>
      <c r="D18" s="14" t="s">
        <v>100</v>
      </c>
      <c r="E18" s="11" t="s">
        <v>117</v>
      </c>
    </row>
    <row r="19" customFormat="false" ht="19.5" hidden="false" customHeight="true" outlineLevel="0" collapsed="false">
      <c r="A19" s="7" t="s">
        <v>90</v>
      </c>
      <c r="B19" s="8" t="s">
        <v>118</v>
      </c>
      <c r="C19" s="13" t="s">
        <v>97</v>
      </c>
      <c r="D19" s="14" t="s">
        <v>100</v>
      </c>
      <c r="E19" s="11" t="s">
        <v>119</v>
      </c>
    </row>
    <row r="20" customFormat="false" ht="19.5" hidden="false" customHeight="true" outlineLevel="0" collapsed="false">
      <c r="A20" s="7" t="s">
        <v>90</v>
      </c>
      <c r="B20" s="8" t="s">
        <v>120</v>
      </c>
      <c r="C20" s="13" t="s">
        <v>97</v>
      </c>
      <c r="D20" s="14" t="s">
        <v>100</v>
      </c>
      <c r="E20" s="11" t="s">
        <v>121</v>
      </c>
    </row>
    <row r="21" customFormat="false" ht="34.5" hidden="false" customHeight="true" outlineLevel="0" collapsed="false">
      <c r="A21" s="7" t="s">
        <v>78</v>
      </c>
      <c r="B21" s="8" t="s">
        <v>122</v>
      </c>
      <c r="C21" s="13" t="s">
        <v>97</v>
      </c>
      <c r="D21" s="14" t="s">
        <v>100</v>
      </c>
      <c r="E21" s="11" t="s">
        <v>123</v>
      </c>
    </row>
    <row r="23" customFormat="false" ht="15" hidden="false" customHeight="false" outlineLevel="0" collapsed="false">
      <c r="A23" s="15" t="s">
        <v>124</v>
      </c>
      <c r="B23" s="16" t="s">
        <v>3</v>
      </c>
      <c r="C23" s="17" t="s">
        <v>125</v>
      </c>
      <c r="D23" s="18" t="s">
        <v>126</v>
      </c>
      <c r="E23" s="19" t="s">
        <v>127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10" min="6" style="0" width="16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31.5" hidden="false" customHeight="true" outlineLevel="0" collapsed="false">
      <c r="A3" s="6" t="s">
        <v>129</v>
      </c>
      <c r="B3" s="6" t="s">
        <v>130</v>
      </c>
      <c r="C3" s="6" t="s">
        <v>131</v>
      </c>
      <c r="D3" s="6" t="s">
        <v>132</v>
      </c>
      <c r="E3" s="6" t="s">
        <v>133</v>
      </c>
      <c r="F3" s="6" t="s">
        <v>134</v>
      </c>
      <c r="G3" s="6" t="s">
        <v>135</v>
      </c>
      <c r="H3" s="6" t="s">
        <v>136</v>
      </c>
      <c r="I3" s="6" t="s">
        <v>137</v>
      </c>
      <c r="J3" s="6" t="s">
        <v>138</v>
      </c>
      <c r="K3" s="6" t="s">
        <v>139</v>
      </c>
    </row>
    <row r="4" customFormat="false" ht="15" hidden="false" customHeight="false" outlineLevel="0" collapsed="false">
      <c r="A4" s="20" t="n">
        <v>1</v>
      </c>
      <c r="B4" s="21" t="s">
        <v>54</v>
      </c>
      <c r="C4" s="22" t="n">
        <v>14683.8</v>
      </c>
      <c r="D4" s="23" t="n">
        <f aca="false">C4/C12*100</f>
        <v>27.8200275096909</v>
      </c>
      <c r="E4" s="20" t="n">
        <v>141</v>
      </c>
      <c r="F4" s="22" t="n">
        <f aca="false">IF(E4=0,0,C4/E4)</f>
        <v>104.140425531915</v>
      </c>
      <c r="G4" s="22" t="n">
        <v>11168.4</v>
      </c>
      <c r="H4" s="22" t="n">
        <v>1793.8</v>
      </c>
      <c r="I4" s="22" t="n">
        <v>1667.1</v>
      </c>
      <c r="J4" s="22" t="n">
        <v>51.5</v>
      </c>
      <c r="K4" s="24" t="n">
        <v>7747</v>
      </c>
    </row>
    <row r="5" customFormat="false" ht="15" hidden="false" customHeight="false" outlineLevel="0" collapsed="false">
      <c r="A5" s="20" t="n">
        <v>2</v>
      </c>
      <c r="B5" s="21" t="s">
        <v>52</v>
      </c>
      <c r="C5" s="22" t="n">
        <v>10385.9</v>
      </c>
      <c r="D5" s="23" t="n">
        <f aca="false">C5/C12*100</f>
        <v>19.6771968913291</v>
      </c>
      <c r="E5" s="20" t="n">
        <v>152</v>
      </c>
      <c r="F5" s="22" t="n">
        <f aca="false">IF(E5=0,0,C5/E5)</f>
        <v>68.3282894736842</v>
      </c>
      <c r="G5" s="22" t="n">
        <v>6583.5</v>
      </c>
      <c r="H5" s="22" t="n">
        <v>2339.3</v>
      </c>
      <c r="I5" s="22" t="n">
        <v>1417.5</v>
      </c>
      <c r="J5" s="22" t="n">
        <v>45.6</v>
      </c>
      <c r="K5" s="24" t="n">
        <v>7361</v>
      </c>
    </row>
    <row r="6" customFormat="false" ht="15" hidden="false" customHeight="false" outlineLevel="0" collapsed="false">
      <c r="A6" s="20" t="n">
        <v>3</v>
      </c>
      <c r="B6" s="21" t="s">
        <v>140</v>
      </c>
      <c r="C6" s="22" t="n">
        <v>8011.8</v>
      </c>
      <c r="D6" s="23" t="n">
        <f aca="false">C6/C12*100</f>
        <v>15.1792108583706</v>
      </c>
      <c r="E6" s="20" t="n">
        <v>122</v>
      </c>
      <c r="F6" s="22" t="n">
        <f aca="false">IF(E6=0,0,C6/E6)</f>
        <v>65.6704918032787</v>
      </c>
      <c r="G6" s="22" t="n">
        <v>5007</v>
      </c>
      <c r="H6" s="22" t="n">
        <v>1950.5</v>
      </c>
      <c r="I6" s="22" t="n">
        <v>962.4</v>
      </c>
      <c r="J6" s="22" t="n">
        <v>91.9</v>
      </c>
      <c r="K6" s="24" t="n">
        <v>5950</v>
      </c>
    </row>
    <row r="7" customFormat="false" ht="15" hidden="false" customHeight="false" outlineLevel="0" collapsed="false">
      <c r="A7" s="20" t="n">
        <v>4</v>
      </c>
      <c r="B7" s="21" t="s">
        <v>59</v>
      </c>
      <c r="C7" s="22" t="n">
        <v>6253.5</v>
      </c>
      <c r="D7" s="23" t="n">
        <f aca="false">C7/C12*100</f>
        <v>11.8479237003945</v>
      </c>
      <c r="E7" s="20" t="n">
        <v>117</v>
      </c>
      <c r="F7" s="22" t="n">
        <f aca="false">IF(E7=0,0,C7/E7)</f>
        <v>53.448717948718</v>
      </c>
      <c r="G7" s="22" t="n">
        <v>4188.9</v>
      </c>
      <c r="H7" s="22" t="n">
        <v>1291.3</v>
      </c>
      <c r="I7" s="22" t="n">
        <v>736.5</v>
      </c>
      <c r="J7" s="22" t="n">
        <v>36.8</v>
      </c>
      <c r="K7" s="24" t="n">
        <v>3988</v>
      </c>
    </row>
    <row r="8" customFormat="false" ht="15" hidden="false" customHeight="false" outlineLevel="0" collapsed="false">
      <c r="A8" s="20" t="n">
        <v>5</v>
      </c>
      <c r="B8" s="21" t="s">
        <v>61</v>
      </c>
      <c r="C8" s="22" t="n">
        <v>4622.4</v>
      </c>
      <c r="D8" s="23" t="n">
        <f aca="false">C8/C12*100</f>
        <v>8.75763052893633</v>
      </c>
      <c r="E8" s="20" t="n">
        <v>118</v>
      </c>
      <c r="F8" s="22" t="n">
        <f aca="false">IF(E8=0,0,C8/E8)</f>
        <v>39.1728813559322</v>
      </c>
      <c r="G8" s="22" t="n">
        <v>1339.2</v>
      </c>
      <c r="H8" s="22" t="n">
        <v>1663</v>
      </c>
      <c r="I8" s="22" t="n">
        <v>1587.3</v>
      </c>
      <c r="J8" s="22" t="n">
        <v>30.9</v>
      </c>
      <c r="K8" s="24" t="n">
        <v>7148</v>
      </c>
    </row>
    <row r="9" customFormat="false" ht="15" hidden="false" customHeight="false" outlineLevel="0" collapsed="false">
      <c r="A9" s="20" t="n">
        <v>6</v>
      </c>
      <c r="B9" s="21" t="s">
        <v>141</v>
      </c>
      <c r="C9" s="22" t="n">
        <v>3277.5</v>
      </c>
      <c r="D9" s="23" t="n">
        <f aca="false">C9/C12*100</f>
        <v>6.20957382714365</v>
      </c>
      <c r="E9" s="20" t="n">
        <v>51</v>
      </c>
      <c r="F9" s="22" t="n">
        <f aca="false">IF(E9=0,0,C9/E9)</f>
        <v>64.2647058823529</v>
      </c>
      <c r="G9" s="22" t="n">
        <v>2.1</v>
      </c>
      <c r="H9" s="22" t="n">
        <v>3157.5</v>
      </c>
      <c r="I9" s="22" t="n">
        <v>114.3</v>
      </c>
      <c r="J9" s="22" t="n">
        <v>3.6</v>
      </c>
      <c r="K9" s="24" t="n">
        <v>3276</v>
      </c>
    </row>
    <row r="10" customFormat="false" ht="15" hidden="false" customHeight="false" outlineLevel="0" collapsed="false">
      <c r="A10" s="20" t="n">
        <v>7</v>
      </c>
      <c r="B10" s="21" t="s">
        <v>56</v>
      </c>
      <c r="C10" s="22" t="n">
        <v>3125.9</v>
      </c>
      <c r="D10" s="23" t="n">
        <f aca="false">C10/C12*100</f>
        <v>5.92235143440682</v>
      </c>
      <c r="E10" s="20" t="n">
        <v>56</v>
      </c>
      <c r="F10" s="22" t="n">
        <f aca="false">IF(E10=0,0,C10/E10)</f>
        <v>55.8196428571429</v>
      </c>
      <c r="G10" s="22" t="n">
        <v>1731.6</v>
      </c>
      <c r="H10" s="22" t="n">
        <v>532.1</v>
      </c>
      <c r="I10" s="22" t="n">
        <v>719.4</v>
      </c>
      <c r="J10" s="22" t="n">
        <v>142.8</v>
      </c>
      <c r="K10" s="24" t="n">
        <v>4332</v>
      </c>
    </row>
    <row r="11" customFormat="false" ht="15" hidden="false" customHeight="false" outlineLevel="0" collapsed="false">
      <c r="A11" s="20" t="n">
        <v>8</v>
      </c>
      <c r="B11" s="21" t="s">
        <v>63</v>
      </c>
      <c r="C11" s="22" t="n">
        <v>2420.6</v>
      </c>
      <c r="D11" s="23" t="n">
        <f aca="false">C11/C12*100</f>
        <v>4.58608524972812</v>
      </c>
      <c r="E11" s="20" t="n">
        <v>44</v>
      </c>
      <c r="F11" s="22" t="n">
        <f aca="false">IF(E11=0,0,C11/E11)</f>
        <v>55.0136363636364</v>
      </c>
      <c r="G11" s="22" t="n">
        <v>1824.6</v>
      </c>
      <c r="H11" s="22" t="n">
        <v>244.5</v>
      </c>
      <c r="I11" s="22" t="n">
        <v>337.2</v>
      </c>
      <c r="J11" s="22" t="n">
        <v>12.3</v>
      </c>
      <c r="K11" s="24" t="n">
        <v>1471</v>
      </c>
    </row>
    <row r="12" customFormat="false" ht="15" hidden="false" customHeight="false" outlineLevel="0" collapsed="false">
      <c r="A12" s="25" t="s">
        <v>124</v>
      </c>
      <c r="B12" s="25"/>
      <c r="C12" s="26" t="n">
        <f aca="false">SUM(C4:C11)</f>
        <v>52781.4</v>
      </c>
      <c r="D12" s="27" t="n">
        <f aca="false">SUM(D4:D11)</f>
        <v>100</v>
      </c>
      <c r="E12" s="25" t="n">
        <f aca="false">SUM(E4:E11)</f>
        <v>801</v>
      </c>
      <c r="F12" s="26" t="n">
        <f aca="false">IF(E12=0,0,C12/E12)</f>
        <v>65.8943820224719</v>
      </c>
      <c r="G12" s="26" t="n">
        <f aca="false">SUM(G4:G11)</f>
        <v>31845.3</v>
      </c>
      <c r="H12" s="26" t="n">
        <f aca="false">SUM(H4:H11)</f>
        <v>12972</v>
      </c>
      <c r="I12" s="26" t="n">
        <f aca="false">SUM(I4:I11)</f>
        <v>7541.7</v>
      </c>
      <c r="J12" s="26" t="n">
        <f aca="false">SUM(J4:J11)</f>
        <v>415.4</v>
      </c>
      <c r="K12" s="28" t="n">
        <f aca="false">SUM(K4:K11)</f>
        <v>41273</v>
      </c>
    </row>
  </sheetData>
  <mergeCells count="1">
    <mergeCell ref="A1:K1"/>
  </mergeCells>
  <conditionalFormatting sqref="F4:F1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4:C11">
    <cfRule type="dataBar" priority="3">
      <dataBar showValue="1" minLength="10" maxLength="90">
        <cfvo type="min" val="0"/>
        <cfvo type="max" val="0"/>
        <color rgb="FF4472C4"/>
      </dataBar>
      <extLst>
        <ext xmlns:x14="http://schemas.microsoft.com/office/spreadsheetml/2009/9/main" uri="{B025F937-C7B1-47D3-B67F-A62EFF666E3E}">
          <x14:id>{87BB6489-3AED-4EBD-911A-2C52CB921A62}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BB6489-3AED-4EBD-911A-2C52CB921A62}">
            <x14:dataBar minLength="10" maxLength="90" axisPosition="none" gradient="true">
              <x14:cfvo type="min"/>
              <x14:cfvo type="max"/>
              <x14:negativeFillColor rgb="FF4472C4"/>
              <x14:axisColor rgb="FF000000"/>
            </x14:dataBar>
          </x14:cfRule>
          <xm:sqref>C4:C11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7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8" min="7" style="0" width="18"/>
    <col collapsed="false" customWidth="true" hidden="false" outlineLevel="0" max="9" min="9" style="0" width="22"/>
    <col collapsed="false" customWidth="true" hidden="false" outlineLevel="0" max="10" min="10" style="0" width="15"/>
  </cols>
  <sheetData>
    <row r="1" customFormat="false" ht="27.75" hidden="false" customHeight="true" outlineLevel="0" collapsed="false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31.5" hidden="false" customHeight="true" outlineLevel="0" collapsed="false">
      <c r="A3" s="6" t="s">
        <v>130</v>
      </c>
      <c r="B3" s="6" t="s">
        <v>133</v>
      </c>
      <c r="C3" s="6" t="s">
        <v>143</v>
      </c>
      <c r="D3" s="6" t="s">
        <v>144</v>
      </c>
      <c r="E3" s="6" t="s">
        <v>145</v>
      </c>
      <c r="F3" s="6" t="s">
        <v>146</v>
      </c>
      <c r="G3" s="6" t="s">
        <v>147</v>
      </c>
      <c r="H3" s="6" t="s">
        <v>148</v>
      </c>
      <c r="I3" s="6" t="s">
        <v>149</v>
      </c>
      <c r="J3" s="6" t="s">
        <v>150</v>
      </c>
    </row>
    <row r="4" customFormat="false" ht="15" hidden="false" customHeight="false" outlineLevel="0" collapsed="false">
      <c r="A4" s="29" t="s">
        <v>52</v>
      </c>
      <c r="B4" s="30" t="n">
        <v>152</v>
      </c>
      <c r="C4" s="31" t="n">
        <v>1.73681712962963</v>
      </c>
      <c r="D4" s="32" t="n">
        <v>50</v>
      </c>
      <c r="E4" s="32" t="n">
        <v>39.34</v>
      </c>
      <c r="F4" s="33" t="n">
        <v>-10.66</v>
      </c>
      <c r="G4" s="32" t="n">
        <v>13199.81</v>
      </c>
      <c r="H4" s="32" t="n">
        <v>10385.9</v>
      </c>
      <c r="I4" s="33" t="n">
        <v>-2813.91</v>
      </c>
      <c r="J4" s="34" t="n">
        <v>0.787</v>
      </c>
    </row>
    <row r="5" customFormat="false" ht="15" hidden="false" customHeight="false" outlineLevel="0" collapsed="false">
      <c r="A5" s="29" t="s">
        <v>54</v>
      </c>
      <c r="B5" s="30" t="n">
        <v>141</v>
      </c>
      <c r="C5" s="31" t="n">
        <v>2.94135416666667</v>
      </c>
      <c r="D5" s="32" t="n">
        <v>50</v>
      </c>
      <c r="E5" s="32" t="n">
        <v>35.41</v>
      </c>
      <c r="F5" s="33" t="n">
        <v>-14.59</v>
      </c>
      <c r="G5" s="32" t="n">
        <v>20736.55</v>
      </c>
      <c r="H5" s="32" t="n">
        <v>14683.8</v>
      </c>
      <c r="I5" s="33" t="n">
        <v>-6052.75</v>
      </c>
      <c r="J5" s="34" t="n">
        <v>0.708</v>
      </c>
    </row>
    <row r="6" customFormat="false" ht="15" hidden="false" customHeight="false" outlineLevel="0" collapsed="false">
      <c r="A6" s="29" t="s">
        <v>56</v>
      </c>
      <c r="B6" s="30" t="n">
        <v>56</v>
      </c>
      <c r="C6" s="31" t="n">
        <v>1.80597222222222</v>
      </c>
      <c r="D6" s="32" t="n">
        <v>50</v>
      </c>
      <c r="E6" s="32" t="n">
        <v>30.91</v>
      </c>
      <c r="F6" s="33" t="n">
        <v>-19.09</v>
      </c>
      <c r="G6" s="32" t="n">
        <v>5056.72</v>
      </c>
      <c r="H6" s="32" t="n">
        <v>3125.9</v>
      </c>
      <c r="I6" s="33" t="n">
        <v>-1930.82</v>
      </c>
      <c r="J6" s="34" t="n">
        <v>0.618</v>
      </c>
    </row>
    <row r="7" customFormat="false" ht="15" hidden="false" customHeight="false" outlineLevel="0" collapsed="false">
      <c r="A7" s="35" t="s">
        <v>140</v>
      </c>
      <c r="B7" s="36" t="n">
        <v>122</v>
      </c>
      <c r="C7" s="37" t="n">
        <v>3.04238425925926</v>
      </c>
      <c r="D7" s="38" t="n">
        <v>50</v>
      </c>
      <c r="E7" s="38" t="n">
        <v>21.59</v>
      </c>
      <c r="F7" s="39" t="n">
        <v>-28.41</v>
      </c>
      <c r="G7" s="38" t="n">
        <v>18558.54</v>
      </c>
      <c r="H7" s="38" t="n">
        <v>8011.8</v>
      </c>
      <c r="I7" s="39" t="n">
        <v>-10546.74</v>
      </c>
      <c r="J7" s="40" t="n">
        <v>0.432</v>
      </c>
    </row>
    <row r="8" customFormat="false" ht="15" hidden="false" customHeight="false" outlineLevel="0" collapsed="false">
      <c r="A8" s="35" t="s">
        <v>141</v>
      </c>
      <c r="B8" s="36" t="n">
        <v>51</v>
      </c>
      <c r="C8" s="37" t="n">
        <v>2.99459490740741</v>
      </c>
      <c r="D8" s="38" t="n">
        <v>50</v>
      </c>
      <c r="E8" s="38" t="n">
        <v>21.46</v>
      </c>
      <c r="F8" s="39" t="n">
        <v>-28.54</v>
      </c>
      <c r="G8" s="38" t="n">
        <v>7636.22</v>
      </c>
      <c r="H8" s="38" t="n">
        <v>3277.5</v>
      </c>
      <c r="I8" s="39" t="n">
        <v>-4358.72</v>
      </c>
      <c r="J8" s="40" t="n">
        <v>0.429</v>
      </c>
    </row>
    <row r="9" customFormat="false" ht="15" hidden="false" customHeight="false" outlineLevel="0" collapsed="false">
      <c r="A9" s="35" t="s">
        <v>63</v>
      </c>
      <c r="B9" s="36" t="n">
        <v>44</v>
      </c>
      <c r="C9" s="37" t="n">
        <v>2.75642361111111</v>
      </c>
      <c r="D9" s="38" t="n">
        <v>50</v>
      </c>
      <c r="E9" s="38" t="n">
        <v>19.96</v>
      </c>
      <c r="F9" s="39" t="n">
        <v>-30.04</v>
      </c>
      <c r="G9" s="38" t="n">
        <v>6064.13</v>
      </c>
      <c r="H9" s="38" t="n">
        <v>2420.6</v>
      </c>
      <c r="I9" s="39" t="n">
        <v>-3643.53</v>
      </c>
      <c r="J9" s="40" t="n">
        <v>0.399</v>
      </c>
    </row>
    <row r="10" customFormat="false" ht="15" hidden="false" customHeight="false" outlineLevel="0" collapsed="false">
      <c r="A10" s="35" t="s">
        <v>61</v>
      </c>
      <c r="B10" s="36" t="n">
        <v>118</v>
      </c>
      <c r="C10" s="37" t="n">
        <v>2.01646990740741</v>
      </c>
      <c r="D10" s="38" t="n">
        <v>50</v>
      </c>
      <c r="E10" s="38" t="n">
        <v>19.43</v>
      </c>
      <c r="F10" s="39" t="n">
        <v>-30.57</v>
      </c>
      <c r="G10" s="38" t="n">
        <v>11897.17</v>
      </c>
      <c r="H10" s="38" t="n">
        <v>4622.4</v>
      </c>
      <c r="I10" s="39" t="n">
        <v>-7274.77</v>
      </c>
      <c r="J10" s="40" t="n">
        <v>0.389</v>
      </c>
    </row>
    <row r="11" customFormat="false" ht="15" hidden="false" customHeight="false" outlineLevel="0" collapsed="false">
      <c r="A11" s="35" t="s">
        <v>59</v>
      </c>
      <c r="B11" s="36" t="n">
        <v>117</v>
      </c>
      <c r="C11" s="37" t="n">
        <v>4.06762731481482</v>
      </c>
      <c r="D11" s="38" t="n">
        <v>50</v>
      </c>
      <c r="E11" s="38" t="n">
        <v>13.14</v>
      </c>
      <c r="F11" s="39" t="n">
        <v>-36.86</v>
      </c>
      <c r="G11" s="38" t="n">
        <v>23795.62</v>
      </c>
      <c r="H11" s="38" t="n">
        <v>6253.5</v>
      </c>
      <c r="I11" s="39" t="n">
        <v>-17542.12</v>
      </c>
      <c r="J11" s="40" t="n">
        <v>0.263</v>
      </c>
    </row>
    <row r="12" customFormat="false" ht="15" hidden="false" customHeight="false" outlineLevel="0" collapsed="false">
      <c r="A12" s="25" t="s">
        <v>151</v>
      </c>
      <c r="B12" s="25" t="n">
        <v>801</v>
      </c>
      <c r="C12" s="41" t="n">
        <v>2.67020543981482</v>
      </c>
      <c r="D12" s="26" t="n">
        <v>50</v>
      </c>
      <c r="E12" s="26" t="n">
        <v>24.6776450380694</v>
      </c>
      <c r="F12" s="42" t="n">
        <v>-25.3223549619306</v>
      </c>
      <c r="G12" s="26" t="n">
        <v>106944.76</v>
      </c>
      <c r="H12" s="26" t="n">
        <v>52781.4</v>
      </c>
      <c r="I12" s="42" t="n">
        <v>-54163.36</v>
      </c>
      <c r="J12" s="43" t="n">
        <v>0.493538907376107</v>
      </c>
    </row>
    <row r="14" customFormat="false" ht="15" hidden="false" customHeight="false" outlineLevel="0" collapsed="false">
      <c r="A14" s="44" t="s">
        <v>152</v>
      </c>
    </row>
    <row r="15" customFormat="false" ht="15" hidden="false" customHeight="false" outlineLevel="0" collapsed="false">
      <c r="A15" s="45" t="s">
        <v>153</v>
      </c>
    </row>
    <row r="16" customFormat="false" ht="15" hidden="false" customHeight="false" outlineLevel="0" collapsed="false">
      <c r="A16" s="45" t="s">
        <v>154</v>
      </c>
    </row>
    <row r="17" customFormat="false" ht="15" hidden="false" customHeight="false" outlineLevel="0" collapsed="false">
      <c r="A17" s="45" t="s">
        <v>155</v>
      </c>
    </row>
    <row r="18" customFormat="false" ht="15" hidden="false" customHeight="false" outlineLevel="0" collapsed="false">
      <c r="A18" s="45" t="s">
        <v>156</v>
      </c>
    </row>
  </sheetData>
  <mergeCells count="1">
    <mergeCell ref="A1:J1"/>
  </mergeCells>
  <conditionalFormatting sqref="J4:J11">
    <cfRule type="colorScale" priority="2">
      <colorScale>
        <cfvo type="num" val="0"/>
        <cfvo type="num" val="1"/>
        <cfvo type="num" val="1.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10" min="8" style="0" width="12"/>
    <col collapsed="false" customWidth="true" hidden="false" outlineLevel="0" max="11" min="11" style="0" width="13"/>
  </cols>
  <sheetData>
    <row r="1" customFormat="false" ht="27.75" hidden="false" customHeight="true" outlineLevel="0" collapsed="false">
      <c r="A1" s="1" t="s">
        <v>157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31.5" hidden="false" customHeight="true" outlineLevel="0" collapsed="false">
      <c r="A3" s="6" t="s">
        <v>130</v>
      </c>
      <c r="B3" s="6" t="s">
        <v>158</v>
      </c>
      <c r="C3" s="6" t="s">
        <v>159</v>
      </c>
      <c r="D3" s="6" t="s">
        <v>160</v>
      </c>
      <c r="E3" s="6" t="s">
        <v>161</v>
      </c>
      <c r="F3" s="6" t="s">
        <v>162</v>
      </c>
      <c r="G3" s="6" t="s">
        <v>163</v>
      </c>
      <c r="H3" s="6" t="s">
        <v>164</v>
      </c>
      <c r="I3" s="6" t="s">
        <v>165</v>
      </c>
      <c r="J3" s="6" t="s">
        <v>166</v>
      </c>
      <c r="K3" s="6" t="s">
        <v>167</v>
      </c>
    </row>
    <row r="4" customFormat="false" ht="15" hidden="false" customHeight="false" outlineLevel="0" collapsed="false">
      <c r="A4" s="21" t="s">
        <v>54</v>
      </c>
      <c r="B4" s="46" t="n">
        <v>0.567</v>
      </c>
      <c r="C4" s="46" t="n">
        <v>0.158</v>
      </c>
      <c r="D4" s="46" t="n">
        <v>0.92</v>
      </c>
      <c r="E4" s="46" t="n">
        <v>0.953</v>
      </c>
      <c r="F4" s="47" t="n">
        <v>0.0308</v>
      </c>
      <c r="G4" s="47" t="n">
        <v>0.1888</v>
      </c>
      <c r="H4" s="24" t="n">
        <v>20948</v>
      </c>
      <c r="I4" s="24" t="n">
        <v>3307</v>
      </c>
      <c r="J4" s="24" t="n">
        <v>1672</v>
      </c>
      <c r="K4" s="24" t="n">
        <v>5557</v>
      </c>
    </row>
    <row r="5" customFormat="false" ht="15" hidden="false" customHeight="false" outlineLevel="0" collapsed="false">
      <c r="A5" s="21" t="s">
        <v>52</v>
      </c>
      <c r="B5" s="46" t="n">
        <v>0.647</v>
      </c>
      <c r="C5" s="46" t="n">
        <v>0.141</v>
      </c>
      <c r="D5" s="46" t="n">
        <v>0.886</v>
      </c>
      <c r="E5" s="46" t="n">
        <v>0.944</v>
      </c>
      <c r="F5" s="47" t="n">
        <v>0.0332</v>
      </c>
      <c r="G5" s="47" t="n">
        <v>0.1511</v>
      </c>
      <c r="H5" s="24" t="n">
        <v>22906</v>
      </c>
      <c r="I5" s="24" t="n">
        <v>3223</v>
      </c>
      <c r="J5" s="24" t="n">
        <v>2180</v>
      </c>
      <c r="K5" s="24" t="n">
        <v>4725</v>
      </c>
    </row>
    <row r="6" customFormat="false" ht="15" hidden="false" customHeight="false" outlineLevel="0" collapsed="false">
      <c r="A6" s="21" t="s">
        <v>140</v>
      </c>
      <c r="B6" s="46" t="n">
        <v>0.23</v>
      </c>
      <c r="C6" s="46" t="n">
        <v>0.1</v>
      </c>
      <c r="D6" s="46" t="n">
        <v>0.914</v>
      </c>
      <c r="E6" s="46" t="n">
        <v>0.932</v>
      </c>
      <c r="F6" s="47" t="n">
        <v>0.0388</v>
      </c>
      <c r="G6" s="47" t="n">
        <v>0.1565</v>
      </c>
      <c r="H6" s="24" t="n">
        <v>17375</v>
      </c>
      <c r="I6" s="24" t="n">
        <v>1739</v>
      </c>
      <c r="J6" s="24" t="n">
        <v>1823</v>
      </c>
      <c r="K6" s="24" t="n">
        <v>3208</v>
      </c>
    </row>
    <row r="7" customFormat="false" ht="15" hidden="false" customHeight="false" outlineLevel="0" collapsed="false">
      <c r="A7" s="21" t="s">
        <v>59</v>
      </c>
      <c r="B7" s="46" t="n">
        <v>0.593</v>
      </c>
      <c r="C7" s="46" t="n">
        <v>0.145</v>
      </c>
      <c r="D7" s="46" t="n">
        <v>0.905</v>
      </c>
      <c r="E7" s="46" t="n">
        <v>0.933</v>
      </c>
      <c r="F7" s="47" t="n">
        <v>0.0255</v>
      </c>
      <c r="G7" s="47" t="n">
        <v>0.1242</v>
      </c>
      <c r="H7" s="24" t="n">
        <v>11252</v>
      </c>
      <c r="I7" s="24" t="n">
        <v>1628</v>
      </c>
      <c r="J7" s="24" t="n">
        <v>1165</v>
      </c>
      <c r="K7" s="24" t="n">
        <v>2455</v>
      </c>
    </row>
    <row r="8" customFormat="false" ht="15" hidden="false" customHeight="false" outlineLevel="0" collapsed="false">
      <c r="A8" s="21" t="s">
        <v>61</v>
      </c>
      <c r="B8" s="46" t="n">
        <v>0.716</v>
      </c>
      <c r="C8" s="46" t="n">
        <v>0.063</v>
      </c>
      <c r="D8" s="46" t="n">
        <v>0.867</v>
      </c>
      <c r="E8" s="46" t="n">
        <v>0.926</v>
      </c>
      <c r="F8" s="47" t="n">
        <v>0.0304</v>
      </c>
      <c r="G8" s="47" t="n">
        <v>0.184</v>
      </c>
      <c r="H8" s="24" t="n">
        <v>14810</v>
      </c>
      <c r="I8" s="24" t="n">
        <v>934</v>
      </c>
      <c r="J8" s="24" t="n">
        <v>1546</v>
      </c>
      <c r="K8" s="24" t="n">
        <v>5291</v>
      </c>
    </row>
    <row r="9" customFormat="false" ht="15" hidden="false" customHeight="false" outlineLevel="0" collapsed="false">
      <c r="A9" s="21" t="s">
        <v>141</v>
      </c>
      <c r="B9" s="46" t="n">
        <v>0.834</v>
      </c>
      <c r="C9" s="46" t="n">
        <v>0.062</v>
      </c>
      <c r="D9" s="46" t="n">
        <v>0.857</v>
      </c>
      <c r="E9" s="46" t="n">
        <v>0.935</v>
      </c>
      <c r="F9" s="47" t="n">
        <v>0.0529</v>
      </c>
      <c r="G9" s="47" t="n">
        <v>0.4027</v>
      </c>
      <c r="H9" s="24" t="n">
        <v>32</v>
      </c>
      <c r="I9" s="24" t="n">
        <v>2</v>
      </c>
      <c r="J9" s="24" t="n">
        <v>2859</v>
      </c>
      <c r="K9" s="24" t="n">
        <v>381</v>
      </c>
    </row>
    <row r="10" customFormat="false" ht="15" hidden="false" customHeight="false" outlineLevel="0" collapsed="false">
      <c r="A10" s="21" t="s">
        <v>56</v>
      </c>
      <c r="B10" s="46" t="n">
        <v>0.256</v>
      </c>
      <c r="C10" s="46" t="n">
        <v>0.09</v>
      </c>
      <c r="D10" s="46" t="n">
        <v>0.874</v>
      </c>
      <c r="E10" s="46" t="n">
        <v>0.943</v>
      </c>
      <c r="F10" s="47" t="n">
        <v>0.0237</v>
      </c>
      <c r="G10" s="47" t="n">
        <v>0.1634</v>
      </c>
      <c r="H10" s="24" t="n">
        <v>9456</v>
      </c>
      <c r="I10" s="24" t="n">
        <v>850</v>
      </c>
      <c r="J10" s="24" t="n">
        <v>506</v>
      </c>
      <c r="K10" s="24" t="n">
        <v>2398</v>
      </c>
    </row>
    <row r="11" customFormat="false" ht="15" hidden="false" customHeight="false" outlineLevel="0" collapsed="false">
      <c r="A11" s="21" t="s">
        <v>63</v>
      </c>
      <c r="B11" s="46" t="n">
        <v>0.592</v>
      </c>
      <c r="C11" s="46" t="n">
        <v>0.127</v>
      </c>
      <c r="D11" s="46" t="n">
        <v>0.876</v>
      </c>
      <c r="E11" s="46" t="n">
        <v>0.92</v>
      </c>
      <c r="F11" s="47" t="n">
        <v>0.0207</v>
      </c>
      <c r="G11" s="47" t="n">
        <v>0.1663</v>
      </c>
      <c r="H11" s="24" t="n">
        <v>4983</v>
      </c>
      <c r="I11" s="24" t="n">
        <v>632</v>
      </c>
      <c r="J11" s="24" t="n">
        <v>222</v>
      </c>
      <c r="K11" s="24" t="n">
        <v>1124</v>
      </c>
    </row>
  </sheetData>
  <mergeCells count="1">
    <mergeCell ref="A1:K1"/>
  </mergeCells>
  <conditionalFormatting sqref="B4:B1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C4:C11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D4:D1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4:E1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4:F1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4:G1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8" min="5" style="0" width="12"/>
    <col collapsed="false" customWidth="true" hidden="false" outlineLevel="0" max="9" min="9" style="0" width="16"/>
  </cols>
  <sheetData>
    <row r="1" customFormat="false" ht="27.75" hidden="false" customHeight="true" outlineLevel="0" collapsed="false">
      <c r="A1" s="1" t="s">
        <v>168</v>
      </c>
      <c r="B1" s="1"/>
      <c r="C1" s="1"/>
      <c r="D1" s="1"/>
      <c r="E1" s="1"/>
      <c r="F1" s="1"/>
      <c r="G1" s="1"/>
      <c r="H1" s="1"/>
      <c r="I1" s="1"/>
    </row>
    <row r="3" customFormat="false" ht="31.5" hidden="false" customHeight="true" outlineLevel="0" collapsed="false">
      <c r="A3" s="6" t="s">
        <v>130</v>
      </c>
      <c r="B3" s="6" t="s">
        <v>133</v>
      </c>
      <c r="C3" s="6" t="s">
        <v>169</v>
      </c>
      <c r="D3" s="6" t="s">
        <v>170</v>
      </c>
      <c r="E3" s="6" t="s">
        <v>171</v>
      </c>
      <c r="F3" s="6" t="s">
        <v>172</v>
      </c>
      <c r="G3" s="6" t="s">
        <v>173</v>
      </c>
      <c r="H3" s="6" t="s">
        <v>174</v>
      </c>
      <c r="I3" s="6" t="s">
        <v>131</v>
      </c>
    </row>
    <row r="4" customFormat="false" ht="15" hidden="false" customHeight="false" outlineLevel="0" collapsed="false">
      <c r="A4" s="21" t="s">
        <v>54</v>
      </c>
      <c r="B4" s="20" t="n">
        <v>141</v>
      </c>
      <c r="C4" s="20" t="n">
        <v>37</v>
      </c>
      <c r="D4" s="46" t="n">
        <v>0.262</v>
      </c>
      <c r="E4" s="20" t="n">
        <v>4</v>
      </c>
      <c r="F4" s="46" t="n">
        <v>0.028</v>
      </c>
      <c r="G4" s="20" t="n">
        <v>4</v>
      </c>
      <c r="H4" s="46" t="n">
        <v>0.028</v>
      </c>
      <c r="I4" s="22" t="n">
        <v>14683.8</v>
      </c>
    </row>
    <row r="5" customFormat="false" ht="15" hidden="false" customHeight="false" outlineLevel="0" collapsed="false">
      <c r="A5" s="21" t="s">
        <v>52</v>
      </c>
      <c r="B5" s="20" t="n">
        <v>152</v>
      </c>
      <c r="C5" s="20" t="n">
        <v>43</v>
      </c>
      <c r="D5" s="46" t="n">
        <v>0.283</v>
      </c>
      <c r="E5" s="20" t="n">
        <v>2</v>
      </c>
      <c r="F5" s="46" t="n">
        <v>0.013</v>
      </c>
      <c r="G5" s="20" t="n">
        <v>1</v>
      </c>
      <c r="H5" s="46" t="n">
        <v>0.007</v>
      </c>
      <c r="I5" s="22" t="n">
        <v>10385.9</v>
      </c>
    </row>
    <row r="6" customFormat="false" ht="15" hidden="false" customHeight="false" outlineLevel="0" collapsed="false">
      <c r="A6" s="21" t="s">
        <v>140</v>
      </c>
      <c r="B6" s="20" t="n">
        <v>122</v>
      </c>
      <c r="C6" s="20" t="n">
        <v>33</v>
      </c>
      <c r="D6" s="46" t="n">
        <v>0.27</v>
      </c>
      <c r="E6" s="20" t="n">
        <v>7</v>
      </c>
      <c r="F6" s="46" t="n">
        <v>0.057</v>
      </c>
      <c r="G6" s="20" t="n">
        <v>6</v>
      </c>
      <c r="H6" s="46" t="n">
        <v>0.049</v>
      </c>
      <c r="I6" s="22" t="n">
        <v>8011.8</v>
      </c>
    </row>
    <row r="7" customFormat="false" ht="15" hidden="false" customHeight="false" outlineLevel="0" collapsed="false">
      <c r="A7" s="21" t="s">
        <v>59</v>
      </c>
      <c r="B7" s="20" t="n">
        <v>117</v>
      </c>
      <c r="C7" s="20" t="n">
        <v>38</v>
      </c>
      <c r="D7" s="46" t="n">
        <v>0.325</v>
      </c>
      <c r="E7" s="20" t="n">
        <v>12</v>
      </c>
      <c r="F7" s="46" t="n">
        <v>0.103</v>
      </c>
      <c r="G7" s="20" t="n">
        <v>11</v>
      </c>
      <c r="H7" s="46" t="n">
        <v>0.094</v>
      </c>
      <c r="I7" s="22" t="n">
        <v>6253.5</v>
      </c>
    </row>
    <row r="8" customFormat="false" ht="15" hidden="false" customHeight="false" outlineLevel="0" collapsed="false">
      <c r="A8" s="21" t="s">
        <v>61</v>
      </c>
      <c r="B8" s="20" t="n">
        <v>118</v>
      </c>
      <c r="C8" s="20" t="n">
        <v>27</v>
      </c>
      <c r="D8" s="46" t="n">
        <v>0.229</v>
      </c>
      <c r="E8" s="20" t="n">
        <v>4</v>
      </c>
      <c r="F8" s="46" t="n">
        <v>0.034</v>
      </c>
      <c r="G8" s="20" t="n">
        <v>3</v>
      </c>
      <c r="H8" s="46" t="n">
        <v>0.025</v>
      </c>
      <c r="I8" s="22" t="n">
        <v>4622.4</v>
      </c>
    </row>
    <row r="9" customFormat="false" ht="15" hidden="false" customHeight="false" outlineLevel="0" collapsed="false">
      <c r="A9" s="21" t="s">
        <v>141</v>
      </c>
      <c r="B9" s="20" t="n">
        <v>51</v>
      </c>
      <c r="C9" s="20" t="n">
        <v>14</v>
      </c>
      <c r="D9" s="46" t="n">
        <v>0.275</v>
      </c>
      <c r="E9" s="20" t="n">
        <v>3</v>
      </c>
      <c r="F9" s="46" t="n">
        <v>0.059</v>
      </c>
      <c r="G9" s="20" t="n">
        <v>2</v>
      </c>
      <c r="H9" s="46" t="n">
        <v>0.039</v>
      </c>
      <c r="I9" s="22" t="n">
        <v>3277.5</v>
      </c>
    </row>
    <row r="10" customFormat="false" ht="15" hidden="false" customHeight="false" outlineLevel="0" collapsed="false">
      <c r="A10" s="21" t="s">
        <v>56</v>
      </c>
      <c r="B10" s="20" t="n">
        <v>56</v>
      </c>
      <c r="C10" s="20" t="n">
        <v>12</v>
      </c>
      <c r="D10" s="46" t="n">
        <v>0.214</v>
      </c>
      <c r="E10" s="20" t="n">
        <v>2</v>
      </c>
      <c r="F10" s="46" t="n">
        <v>0.036</v>
      </c>
      <c r="G10" s="20" t="n">
        <v>1</v>
      </c>
      <c r="H10" s="46" t="n">
        <v>0.018</v>
      </c>
      <c r="I10" s="22" t="n">
        <v>3125.9</v>
      </c>
    </row>
    <row r="11" customFormat="false" ht="15" hidden="false" customHeight="false" outlineLevel="0" collapsed="false">
      <c r="A11" s="21" t="s">
        <v>63</v>
      </c>
      <c r="B11" s="20" t="n">
        <v>44</v>
      </c>
      <c r="C11" s="20" t="n">
        <v>3</v>
      </c>
      <c r="D11" s="46" t="n">
        <v>0.068</v>
      </c>
      <c r="E11" s="20" t="n">
        <v>3</v>
      </c>
      <c r="F11" s="46" t="n">
        <v>0.068</v>
      </c>
      <c r="G11" s="20" t="n">
        <v>3</v>
      </c>
      <c r="H11" s="46" t="n">
        <v>0.068</v>
      </c>
      <c r="I11" s="22" t="n">
        <v>2420.6</v>
      </c>
    </row>
  </sheetData>
  <mergeCells count="1">
    <mergeCell ref="A1:I1"/>
  </mergeCells>
  <conditionalFormatting sqref="D4:D1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4:H11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6" min="4" style="0" width="16"/>
  </cols>
  <sheetData>
    <row r="1" customFormat="false" ht="27.75" hidden="false" customHeight="true" outlineLevel="0" collapsed="false">
      <c r="A1" s="1" t="s">
        <v>175</v>
      </c>
      <c r="B1" s="1"/>
      <c r="C1" s="1"/>
      <c r="D1" s="1"/>
      <c r="E1" s="1"/>
      <c r="F1" s="1"/>
    </row>
    <row r="3" customFormat="false" ht="31.5" hidden="false" customHeight="true" outlineLevel="0" collapsed="false">
      <c r="A3" s="6" t="s">
        <v>130</v>
      </c>
      <c r="B3" s="6" t="s">
        <v>176</v>
      </c>
      <c r="C3" s="6" t="s">
        <v>133</v>
      </c>
      <c r="D3" s="6" t="s">
        <v>131</v>
      </c>
      <c r="E3" s="6" t="s">
        <v>134</v>
      </c>
      <c r="F3" s="6" t="s">
        <v>177</v>
      </c>
    </row>
    <row r="4" customFormat="false" ht="15" hidden="false" customHeight="false" outlineLevel="0" collapsed="false">
      <c r="A4" s="21" t="s">
        <v>140</v>
      </c>
      <c r="B4" s="21" t="s">
        <v>178</v>
      </c>
      <c r="C4" s="20" t="n">
        <v>14</v>
      </c>
      <c r="D4" s="22" t="n">
        <v>1909.8</v>
      </c>
      <c r="E4" s="22" t="n">
        <f aca="false">IF(C4=0,0,D4/C4)</f>
        <v>136.414285714286</v>
      </c>
      <c r="F4" s="46" t="n">
        <v>0.238373399236127</v>
      </c>
    </row>
    <row r="5" customFormat="false" ht="15" hidden="false" customHeight="false" outlineLevel="0" collapsed="false">
      <c r="A5" s="21" t="s">
        <v>140</v>
      </c>
      <c r="B5" s="21" t="s">
        <v>179</v>
      </c>
      <c r="C5" s="20" t="n">
        <v>17</v>
      </c>
      <c r="D5" s="22" t="n">
        <v>1741.1</v>
      </c>
      <c r="E5" s="22" t="n">
        <f aca="false">IF(C5=0,0,D5/C5)</f>
        <v>102.417647058824</v>
      </c>
      <c r="F5" s="46" t="n">
        <v>0.217316957487706</v>
      </c>
    </row>
    <row r="6" customFormat="false" ht="15" hidden="false" customHeight="false" outlineLevel="0" collapsed="false">
      <c r="A6" s="21" t="s">
        <v>140</v>
      </c>
      <c r="B6" s="21" t="s">
        <v>180</v>
      </c>
      <c r="C6" s="20" t="n">
        <v>15</v>
      </c>
      <c r="D6" s="22" t="n">
        <v>1717.6</v>
      </c>
      <c r="E6" s="22" t="n">
        <f aca="false">IF(C6=0,0,D6/C6)</f>
        <v>114.506666666667</v>
      </c>
      <c r="F6" s="46" t="n">
        <v>0.21438378391872</v>
      </c>
    </row>
    <row r="7" customFormat="false" ht="15" hidden="false" customHeight="false" outlineLevel="0" collapsed="false">
      <c r="A7" s="21" t="s">
        <v>140</v>
      </c>
      <c r="B7" s="21" t="s">
        <v>181</v>
      </c>
      <c r="C7" s="20" t="n">
        <v>36</v>
      </c>
      <c r="D7" s="22" t="n">
        <v>1374.1</v>
      </c>
      <c r="E7" s="22" t="n">
        <f aca="false">IF(C7=0,0,D7/C7)</f>
        <v>38.1694444444444</v>
      </c>
      <c r="F7" s="46" t="n">
        <v>0.171509523452907</v>
      </c>
    </row>
    <row r="8" customFormat="false" ht="15" hidden="false" customHeight="false" outlineLevel="0" collapsed="false">
      <c r="A8" s="21" t="s">
        <v>140</v>
      </c>
      <c r="B8" s="21" t="s">
        <v>182</v>
      </c>
      <c r="C8" s="20" t="n">
        <v>22</v>
      </c>
      <c r="D8" s="22" t="n">
        <v>738.6</v>
      </c>
      <c r="E8" s="22" t="n">
        <f aca="false">IF(C8=0,0,D8/C8)</f>
        <v>33.5727272727273</v>
      </c>
      <c r="F8" s="46" t="n">
        <v>0.0921890211937392</v>
      </c>
    </row>
    <row r="9" customFormat="false" ht="15" hidden="false" customHeight="false" outlineLevel="0" collapsed="false">
      <c r="A9" s="21" t="s">
        <v>140</v>
      </c>
      <c r="B9" s="21" t="s">
        <v>183</v>
      </c>
      <c r="C9" s="20" t="n">
        <v>18</v>
      </c>
      <c r="D9" s="22" t="n">
        <v>530.6</v>
      </c>
      <c r="E9" s="22" t="n">
        <f aca="false">IF(C9=0,0,D9/C9)</f>
        <v>29.4777777777778</v>
      </c>
      <c r="F9" s="46" t="n">
        <v>0.0662273147108016</v>
      </c>
    </row>
    <row r="10" customFormat="false" ht="15" hidden="false" customHeight="false" outlineLevel="0" collapsed="false">
      <c r="A10" s="21" t="s">
        <v>141</v>
      </c>
      <c r="B10" s="21" t="s">
        <v>184</v>
      </c>
      <c r="C10" s="20" t="n">
        <v>35</v>
      </c>
      <c r="D10" s="22" t="n">
        <v>2876.4</v>
      </c>
      <c r="E10" s="22" t="n">
        <f aca="false">IF(C10=0,0,D10/C10)</f>
        <v>82.1828571428572</v>
      </c>
      <c r="F10" s="46" t="n">
        <v>0.877620137299771</v>
      </c>
    </row>
    <row r="11" customFormat="false" ht="15" hidden="false" customHeight="false" outlineLevel="0" collapsed="false">
      <c r="A11" s="21" t="s">
        <v>141</v>
      </c>
      <c r="B11" s="21" t="s">
        <v>185</v>
      </c>
      <c r="C11" s="20" t="n">
        <v>16</v>
      </c>
      <c r="D11" s="22" t="n">
        <v>401.1</v>
      </c>
      <c r="E11" s="22" t="n">
        <f aca="false">IF(C11=0,0,D11/C11)</f>
        <v>25.06875</v>
      </c>
      <c r="F11" s="46" t="n">
        <v>0.122379862700229</v>
      </c>
    </row>
    <row r="12" customFormat="false" ht="15" hidden="false" customHeight="false" outlineLevel="0" collapsed="false">
      <c r="A12" s="21" t="s">
        <v>54</v>
      </c>
      <c r="B12" s="21" t="s">
        <v>186</v>
      </c>
      <c r="C12" s="20" t="n">
        <v>36</v>
      </c>
      <c r="D12" s="22" t="n">
        <v>4588</v>
      </c>
      <c r="E12" s="22" t="n">
        <f aca="false">IF(C12=0,0,D12/C12)</f>
        <v>127.444444444444</v>
      </c>
      <c r="F12" s="46" t="n">
        <v>0.31245317969463</v>
      </c>
    </row>
    <row r="13" customFormat="false" ht="15" hidden="false" customHeight="false" outlineLevel="0" collapsed="false">
      <c r="A13" s="21" t="s">
        <v>54</v>
      </c>
      <c r="B13" s="21" t="s">
        <v>187</v>
      </c>
      <c r="C13" s="20" t="n">
        <v>22</v>
      </c>
      <c r="D13" s="22" t="n">
        <v>3329.7</v>
      </c>
      <c r="E13" s="22" t="n">
        <f aca="false">IF(C13=0,0,D13/C13)</f>
        <v>151.35</v>
      </c>
      <c r="F13" s="46" t="n">
        <v>0.226760102970621</v>
      </c>
    </row>
    <row r="14" customFormat="false" ht="15" hidden="false" customHeight="false" outlineLevel="0" collapsed="false">
      <c r="A14" s="21" t="s">
        <v>54</v>
      </c>
      <c r="B14" s="21" t="s">
        <v>188</v>
      </c>
      <c r="C14" s="20" t="n">
        <v>20</v>
      </c>
      <c r="D14" s="22" t="n">
        <v>2613.1</v>
      </c>
      <c r="E14" s="22" t="n">
        <f aca="false">IF(C14=0,0,D14/C14)</f>
        <v>130.655</v>
      </c>
      <c r="F14" s="46" t="n">
        <v>0.177958021765483</v>
      </c>
    </row>
    <row r="15" customFormat="false" ht="15" hidden="false" customHeight="false" outlineLevel="0" collapsed="false">
      <c r="A15" s="21" t="s">
        <v>54</v>
      </c>
      <c r="B15" s="21" t="s">
        <v>189</v>
      </c>
      <c r="C15" s="20" t="n">
        <v>16</v>
      </c>
      <c r="D15" s="22" t="n">
        <v>2079.6</v>
      </c>
      <c r="E15" s="22" t="n">
        <f aca="false">IF(C15=0,0,D15/C15)</f>
        <v>129.975</v>
      </c>
      <c r="F15" s="46" t="n">
        <v>0.141625464797941</v>
      </c>
    </row>
    <row r="16" customFormat="false" ht="15" hidden="false" customHeight="false" outlineLevel="0" collapsed="false">
      <c r="A16" s="21" t="s">
        <v>54</v>
      </c>
      <c r="B16" s="21" t="s">
        <v>190</v>
      </c>
      <c r="C16" s="20" t="n">
        <v>27</v>
      </c>
      <c r="D16" s="22" t="n">
        <v>1281.9</v>
      </c>
      <c r="E16" s="22" t="n">
        <f aca="false">IF(C16=0,0,D16/C16)</f>
        <v>47.4777777777778</v>
      </c>
      <c r="F16" s="46" t="n">
        <v>0.0873002901156377</v>
      </c>
    </row>
    <row r="17" customFormat="false" ht="15" hidden="false" customHeight="false" outlineLevel="0" collapsed="false">
      <c r="A17" s="21" t="s">
        <v>54</v>
      </c>
      <c r="B17" s="21" t="s">
        <v>191</v>
      </c>
      <c r="C17" s="20" t="n">
        <v>21</v>
      </c>
      <c r="D17" s="22" t="n">
        <v>791.5</v>
      </c>
      <c r="E17" s="22" t="n">
        <f aca="false">IF(C17=0,0,D17/C17)</f>
        <v>37.6904761904762</v>
      </c>
      <c r="F17" s="46" t="n">
        <v>0.0539029406556886</v>
      </c>
    </row>
    <row r="18" customFormat="false" ht="15" hidden="false" customHeight="false" outlineLevel="0" collapsed="false">
      <c r="A18" s="21" t="s">
        <v>52</v>
      </c>
      <c r="B18" s="21" t="s">
        <v>192</v>
      </c>
      <c r="C18" s="20" t="n">
        <v>37</v>
      </c>
      <c r="D18" s="22" t="n">
        <v>2907.2</v>
      </c>
      <c r="E18" s="22" t="n">
        <f aca="false">IF(C18=0,0,D18/C18)</f>
        <v>78.572972972973</v>
      </c>
      <c r="F18" s="46" t="n">
        <v>0.279917965703502</v>
      </c>
    </row>
    <row r="19" customFormat="false" ht="15" hidden="false" customHeight="false" outlineLevel="0" collapsed="false">
      <c r="A19" s="21" t="s">
        <v>52</v>
      </c>
      <c r="B19" s="21" t="s">
        <v>193</v>
      </c>
      <c r="C19" s="20" t="n">
        <v>35</v>
      </c>
      <c r="D19" s="22" t="n">
        <v>2459.3</v>
      </c>
      <c r="E19" s="22" t="n">
        <f aca="false">IF(C19=0,0,D19/C19)</f>
        <v>70.2657142857143</v>
      </c>
      <c r="F19" s="46" t="n">
        <v>0.236792189410643</v>
      </c>
    </row>
    <row r="20" customFormat="false" ht="15" hidden="false" customHeight="false" outlineLevel="0" collapsed="false">
      <c r="A20" s="21" t="s">
        <v>52</v>
      </c>
      <c r="B20" s="21" t="s">
        <v>194</v>
      </c>
      <c r="C20" s="20" t="n">
        <v>19</v>
      </c>
      <c r="D20" s="22" t="n">
        <v>1519.9</v>
      </c>
      <c r="E20" s="22" t="n">
        <f aca="false">IF(C20=0,0,D20/C20)</f>
        <v>79.9947368421053</v>
      </c>
      <c r="F20" s="46" t="n">
        <v>0.146342637614458</v>
      </c>
    </row>
    <row r="21" customFormat="false" ht="15" hidden="false" customHeight="false" outlineLevel="0" collapsed="false">
      <c r="A21" s="21" t="s">
        <v>52</v>
      </c>
      <c r="B21" s="21" t="s">
        <v>195</v>
      </c>
      <c r="C21" s="20" t="n">
        <v>18</v>
      </c>
      <c r="D21" s="22" t="n">
        <v>1316.6</v>
      </c>
      <c r="E21" s="22" t="n">
        <f aca="false">IF(C21=0,0,D21/C21)</f>
        <v>73.1444444444445</v>
      </c>
      <c r="F21" s="46" t="n">
        <v>0.126768022029867</v>
      </c>
    </row>
    <row r="22" customFormat="false" ht="15" hidden="false" customHeight="false" outlineLevel="0" collapsed="false">
      <c r="A22" s="21" t="s">
        <v>52</v>
      </c>
      <c r="B22" s="21" t="s">
        <v>196</v>
      </c>
      <c r="C22" s="20" t="n">
        <v>17</v>
      </c>
      <c r="D22" s="22" t="n">
        <v>1211.7</v>
      </c>
      <c r="E22" s="22" t="n">
        <f aca="false">IF(C22=0,0,D22/C22)</f>
        <v>71.2764705882353</v>
      </c>
      <c r="F22" s="46" t="n">
        <v>0.116667789984498</v>
      </c>
    </row>
    <row r="23" customFormat="false" ht="15" hidden="false" customHeight="false" outlineLevel="0" collapsed="false">
      <c r="A23" s="21" t="s">
        <v>52</v>
      </c>
      <c r="B23" s="21" t="s">
        <v>197</v>
      </c>
      <c r="C23" s="20" t="n">
        <v>26</v>
      </c>
      <c r="D23" s="22" t="n">
        <v>971.2</v>
      </c>
      <c r="E23" s="22" t="n">
        <f aca="false">IF(C23=0,0,D23/C23)</f>
        <v>37.3538461538462</v>
      </c>
      <c r="F23" s="46" t="n">
        <v>0.0935113952570312</v>
      </c>
    </row>
    <row r="24" customFormat="false" ht="15" hidden="false" customHeight="false" outlineLevel="0" collapsed="false">
      <c r="A24" s="21" t="s">
        <v>59</v>
      </c>
      <c r="B24" s="21" t="s">
        <v>198</v>
      </c>
      <c r="C24" s="20" t="n">
        <v>26</v>
      </c>
      <c r="D24" s="22" t="n">
        <v>2110.8</v>
      </c>
      <c r="E24" s="22" t="n">
        <f aca="false">IF(C24=0,0,D24/C24)</f>
        <v>81.1846153846154</v>
      </c>
      <c r="F24" s="46" t="n">
        <v>0.337538978172224</v>
      </c>
    </row>
    <row r="25" customFormat="false" ht="15" hidden="false" customHeight="false" outlineLevel="0" collapsed="false">
      <c r="A25" s="21" t="s">
        <v>59</v>
      </c>
      <c r="B25" s="21" t="s">
        <v>199</v>
      </c>
      <c r="C25" s="20" t="n">
        <v>14</v>
      </c>
      <c r="D25" s="22" t="n">
        <v>1622.7</v>
      </c>
      <c r="E25" s="22" t="n">
        <f aca="false">IF(C25=0,0,D25/C25)</f>
        <v>115.907142857143</v>
      </c>
      <c r="F25" s="46" t="n">
        <v>0.259486687455025</v>
      </c>
    </row>
    <row r="26" customFormat="false" ht="15" hidden="false" customHeight="false" outlineLevel="0" collapsed="false">
      <c r="A26" s="21" t="s">
        <v>59</v>
      </c>
      <c r="B26" s="21" t="s">
        <v>200</v>
      </c>
      <c r="C26" s="20" t="n">
        <v>13</v>
      </c>
      <c r="D26" s="22" t="n">
        <v>871.7</v>
      </c>
      <c r="E26" s="22" t="n">
        <f aca="false">IF(C26=0,0,D26/C26)</f>
        <v>67.0538461538462</v>
      </c>
      <c r="F26" s="46" t="n">
        <v>0.139393939393939</v>
      </c>
    </row>
    <row r="27" customFormat="false" ht="15" hidden="false" customHeight="false" outlineLevel="0" collapsed="false">
      <c r="A27" s="21" t="s">
        <v>59</v>
      </c>
      <c r="B27" s="21" t="s">
        <v>201</v>
      </c>
      <c r="C27" s="20" t="n">
        <v>13</v>
      </c>
      <c r="D27" s="22" t="n">
        <v>626.5</v>
      </c>
      <c r="E27" s="22" t="n">
        <f aca="false">IF(C27=0,0,D27/C27)</f>
        <v>48.1923076923077</v>
      </c>
      <c r="F27" s="46" t="n">
        <v>0.10018389701767</v>
      </c>
    </row>
    <row r="28" customFormat="false" ht="15" hidden="false" customHeight="false" outlineLevel="0" collapsed="false">
      <c r="A28" s="21" t="s">
        <v>59</v>
      </c>
      <c r="B28" s="21" t="s">
        <v>202</v>
      </c>
      <c r="C28" s="20" t="n">
        <v>15</v>
      </c>
      <c r="D28" s="22" t="n">
        <v>586.4</v>
      </c>
      <c r="E28" s="22" t="n">
        <f aca="false">IF(C28=0,0,D28/C28)</f>
        <v>39.0933333333333</v>
      </c>
      <c r="F28" s="46" t="n">
        <v>0.0937714879667386</v>
      </c>
    </row>
    <row r="29" customFormat="false" ht="15" hidden="false" customHeight="false" outlineLevel="0" collapsed="false">
      <c r="A29" s="21" t="s">
        <v>59</v>
      </c>
      <c r="B29" s="21" t="s">
        <v>203</v>
      </c>
      <c r="C29" s="20" t="n">
        <v>12</v>
      </c>
      <c r="D29" s="22" t="n">
        <v>241.1</v>
      </c>
      <c r="E29" s="22" t="n">
        <f aca="false">IF(C29=0,0,D29/C29)</f>
        <v>20.0916666666667</v>
      </c>
      <c r="F29" s="46" t="n">
        <v>0.0385544095306628</v>
      </c>
    </row>
    <row r="30" customFormat="false" ht="15" hidden="false" customHeight="false" outlineLevel="0" collapsed="false">
      <c r="A30" s="21" t="s">
        <v>59</v>
      </c>
      <c r="B30" s="21" t="s">
        <v>204</v>
      </c>
      <c r="C30" s="20" t="n">
        <v>25</v>
      </c>
      <c r="D30" s="22" t="n">
        <v>194.3</v>
      </c>
      <c r="E30" s="22" t="n">
        <f aca="false">IF(C30=0,0,D30/C30)</f>
        <v>7.772</v>
      </c>
      <c r="F30" s="46" t="n">
        <v>0.0310706004637403</v>
      </c>
    </row>
    <row r="31" customFormat="false" ht="15" hidden="false" customHeight="false" outlineLevel="0" collapsed="false">
      <c r="A31" s="21" t="s">
        <v>56</v>
      </c>
      <c r="B31" s="21" t="s">
        <v>205</v>
      </c>
      <c r="C31" s="20" t="n">
        <v>16</v>
      </c>
      <c r="D31" s="22" t="n">
        <v>954.4</v>
      </c>
      <c r="E31" s="22" t="n">
        <f aca="false">IF(C31=0,0,D31/C31)</f>
        <v>59.65</v>
      </c>
      <c r="F31" s="46" t="n">
        <v>0.305320067820468</v>
      </c>
    </row>
    <row r="32" customFormat="false" ht="15" hidden="false" customHeight="false" outlineLevel="0" collapsed="false">
      <c r="A32" s="21" t="s">
        <v>56</v>
      </c>
      <c r="B32" s="21" t="s">
        <v>206</v>
      </c>
      <c r="C32" s="20" t="n">
        <v>13</v>
      </c>
      <c r="D32" s="22" t="n">
        <v>777.1</v>
      </c>
      <c r="E32" s="22" t="n">
        <f aca="false">IF(C32=0,0,D32/C32)</f>
        <v>59.7769230769231</v>
      </c>
      <c r="F32" s="46" t="n">
        <v>0.248600403083912</v>
      </c>
    </row>
    <row r="33" customFormat="false" ht="15" hidden="false" customHeight="false" outlineLevel="0" collapsed="false">
      <c r="A33" s="21" t="s">
        <v>56</v>
      </c>
      <c r="B33" s="21" t="s">
        <v>207</v>
      </c>
      <c r="C33" s="20" t="n">
        <v>16</v>
      </c>
      <c r="D33" s="22" t="n">
        <v>770.3</v>
      </c>
      <c r="E33" s="22" t="n">
        <f aca="false">IF(C33=0,0,D33/C33)</f>
        <v>48.14375</v>
      </c>
      <c r="F33" s="46" t="n">
        <v>0.246425029591478</v>
      </c>
    </row>
    <row r="34" customFormat="false" ht="15" hidden="false" customHeight="false" outlineLevel="0" collapsed="false">
      <c r="A34" s="21" t="s">
        <v>56</v>
      </c>
      <c r="B34" s="21" t="s">
        <v>208</v>
      </c>
      <c r="C34" s="20" t="n">
        <v>15</v>
      </c>
      <c r="D34" s="22" t="n">
        <v>624.1</v>
      </c>
      <c r="E34" s="22" t="n">
        <f aca="false">IF(C34=0,0,D34/C34)</f>
        <v>41.6066666666667</v>
      </c>
      <c r="F34" s="46" t="n">
        <v>0.199654499504143</v>
      </c>
    </row>
    <row r="35" customFormat="false" ht="15" hidden="false" customHeight="false" outlineLevel="0" collapsed="false">
      <c r="A35" s="21" t="s">
        <v>61</v>
      </c>
      <c r="B35" s="21" t="s">
        <v>209</v>
      </c>
      <c r="C35" s="20" t="n">
        <v>40</v>
      </c>
      <c r="D35" s="22" t="n">
        <v>1536.4</v>
      </c>
      <c r="E35" s="22" t="n">
        <f aca="false">IF(C35=0,0,D35/C35)</f>
        <v>38.41</v>
      </c>
      <c r="F35" s="46" t="n">
        <v>0.332381446867428</v>
      </c>
    </row>
    <row r="36" customFormat="false" ht="15" hidden="false" customHeight="false" outlineLevel="0" collapsed="false">
      <c r="A36" s="21" t="s">
        <v>61</v>
      </c>
      <c r="B36" s="21" t="s">
        <v>210</v>
      </c>
      <c r="C36" s="20" t="n">
        <v>16</v>
      </c>
      <c r="D36" s="22" t="n">
        <v>682.7</v>
      </c>
      <c r="E36" s="22" t="n">
        <f aca="false">IF(C36=0,0,D36/C36)</f>
        <v>42.66875</v>
      </c>
      <c r="F36" s="46" t="n">
        <v>0.147693838698512</v>
      </c>
    </row>
    <row r="37" customFormat="false" ht="15" hidden="false" customHeight="false" outlineLevel="0" collapsed="false">
      <c r="A37" s="21" t="s">
        <v>61</v>
      </c>
      <c r="B37" s="21" t="s">
        <v>211</v>
      </c>
      <c r="C37" s="20" t="n">
        <v>17</v>
      </c>
      <c r="D37" s="22" t="n">
        <v>652</v>
      </c>
      <c r="E37" s="22" t="n">
        <f aca="false">IF(C37=0,0,D37/C37)</f>
        <v>38.3529411764706</v>
      </c>
      <c r="F37" s="46" t="n">
        <v>0.141052267220492</v>
      </c>
    </row>
    <row r="38" customFormat="false" ht="15" hidden="false" customHeight="false" outlineLevel="0" collapsed="false">
      <c r="A38" s="21" t="s">
        <v>61</v>
      </c>
      <c r="B38" s="21" t="s">
        <v>212</v>
      </c>
      <c r="C38" s="20" t="n">
        <v>18</v>
      </c>
      <c r="D38" s="22" t="n">
        <v>595.8</v>
      </c>
      <c r="E38" s="22" t="n">
        <f aca="false">IF(C38=0,0,D38/C38)</f>
        <v>33.1</v>
      </c>
      <c r="F38" s="46" t="n">
        <v>0.128894080996885</v>
      </c>
    </row>
    <row r="39" customFormat="false" ht="15" hidden="false" customHeight="false" outlineLevel="0" collapsed="false">
      <c r="A39" s="21" t="s">
        <v>61</v>
      </c>
      <c r="B39" s="21" t="s">
        <v>213</v>
      </c>
      <c r="C39" s="20" t="n">
        <v>15</v>
      </c>
      <c r="D39" s="22" t="n">
        <v>588.8</v>
      </c>
      <c r="E39" s="22" t="n">
        <f aca="false">IF(C39=0,0,D39/C39)</f>
        <v>39.2533333333333</v>
      </c>
      <c r="F39" s="46" t="n">
        <v>0.127379716164763</v>
      </c>
    </row>
    <row r="40" customFormat="false" ht="15" hidden="false" customHeight="false" outlineLevel="0" collapsed="false">
      <c r="A40" s="21" t="s">
        <v>61</v>
      </c>
      <c r="B40" s="21" t="s">
        <v>214</v>
      </c>
      <c r="C40" s="20" t="n">
        <v>16</v>
      </c>
      <c r="D40" s="22" t="n">
        <v>566.7</v>
      </c>
      <c r="E40" s="22" t="n">
        <f aca="false">IF(C40=0,0,D40/C40)</f>
        <v>35.41875</v>
      </c>
      <c r="F40" s="46" t="n">
        <v>0.122598650051921</v>
      </c>
    </row>
    <row r="41" customFormat="false" ht="15" hidden="false" customHeight="false" outlineLevel="0" collapsed="false">
      <c r="A41" s="21" t="s">
        <v>63</v>
      </c>
      <c r="B41" s="21" t="s">
        <v>215</v>
      </c>
      <c r="C41" s="20" t="n">
        <v>15</v>
      </c>
      <c r="D41" s="22" t="n">
        <v>1561.7</v>
      </c>
      <c r="E41" s="22" t="n">
        <f aca="false">IF(C41=0,0,D41/C41)</f>
        <v>104.113333333333</v>
      </c>
      <c r="F41" s="46" t="n">
        <v>0.645170618854829</v>
      </c>
    </row>
    <row r="42" customFormat="false" ht="15" hidden="false" customHeight="false" outlineLevel="0" collapsed="false">
      <c r="A42" s="21" t="s">
        <v>63</v>
      </c>
      <c r="B42" s="21" t="s">
        <v>216</v>
      </c>
      <c r="C42" s="20" t="n">
        <v>18</v>
      </c>
      <c r="D42" s="22" t="n">
        <v>849.2</v>
      </c>
      <c r="E42" s="22" t="n">
        <f aca="false">IF(C42=0,0,D42/C42)</f>
        <v>47.1777777777778</v>
      </c>
      <c r="F42" s="46" t="n">
        <v>0.350822110220607</v>
      </c>
    </row>
    <row r="43" customFormat="false" ht="15" hidden="false" customHeight="false" outlineLevel="0" collapsed="false">
      <c r="A43" s="21" t="s">
        <v>63</v>
      </c>
      <c r="B43" s="21" t="s">
        <v>217</v>
      </c>
      <c r="C43" s="20" t="n">
        <v>11</v>
      </c>
      <c r="D43" s="22" t="n">
        <v>9.7</v>
      </c>
      <c r="E43" s="22" t="n">
        <f aca="false">IF(C43=0,0,D43/C43)</f>
        <v>0.881818181818182</v>
      </c>
      <c r="F43" s="46" t="n">
        <v>0.00400727092456416</v>
      </c>
    </row>
  </sheetData>
  <mergeCells count="1">
    <mergeCell ref="A1:F1"/>
  </mergeCells>
  <conditionalFormatting sqref="E4:E4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7" min="6" style="0" width="14"/>
  </cols>
  <sheetData>
    <row r="1" customFormat="false" ht="27.75" hidden="false" customHeight="true" outlineLevel="0" collapsed="false">
      <c r="A1" s="1" t="s">
        <v>218</v>
      </c>
      <c r="B1" s="1"/>
      <c r="C1" s="1"/>
      <c r="D1" s="1"/>
      <c r="E1" s="1"/>
      <c r="F1" s="1"/>
      <c r="G1" s="1"/>
    </row>
    <row r="3" customFormat="false" ht="31.5" hidden="false" customHeight="true" outlineLevel="0" collapsed="false">
      <c r="A3" s="6" t="s">
        <v>219</v>
      </c>
      <c r="B3" s="6" t="s">
        <v>130</v>
      </c>
      <c r="C3" s="6" t="s">
        <v>176</v>
      </c>
      <c r="D3" s="6" t="s">
        <v>220</v>
      </c>
      <c r="E3" s="6" t="s">
        <v>221</v>
      </c>
      <c r="F3" s="6" t="s">
        <v>131</v>
      </c>
      <c r="G3" s="6" t="s">
        <v>222</v>
      </c>
    </row>
    <row r="4" customFormat="false" ht="15" hidden="false" customHeight="false" outlineLevel="0" collapsed="false">
      <c r="A4" s="20" t="n">
        <v>1</v>
      </c>
      <c r="B4" s="21" t="s">
        <v>54</v>
      </c>
      <c r="C4" s="21" t="s">
        <v>189</v>
      </c>
      <c r="D4" s="21" t="s">
        <v>223</v>
      </c>
      <c r="E4" s="21" t="s">
        <v>224</v>
      </c>
      <c r="F4" s="22" t="n">
        <v>311</v>
      </c>
      <c r="G4" s="22" t="n">
        <v>280.8</v>
      </c>
    </row>
    <row r="5" customFormat="false" ht="15" hidden="false" customHeight="false" outlineLevel="0" collapsed="false">
      <c r="A5" s="20" t="n">
        <v>2</v>
      </c>
      <c r="B5" s="21" t="s">
        <v>59</v>
      </c>
      <c r="C5" s="21" t="s">
        <v>198</v>
      </c>
      <c r="D5" s="21" t="s">
        <v>225</v>
      </c>
      <c r="E5" s="21" t="s">
        <v>226</v>
      </c>
      <c r="F5" s="22" t="n">
        <v>229.9</v>
      </c>
      <c r="G5" s="22" t="n">
        <v>202.8</v>
      </c>
    </row>
    <row r="6" customFormat="false" ht="15" hidden="false" customHeight="false" outlineLevel="0" collapsed="false">
      <c r="A6" s="20" t="n">
        <v>3</v>
      </c>
      <c r="B6" s="21" t="s">
        <v>59</v>
      </c>
      <c r="C6" s="21" t="s">
        <v>198</v>
      </c>
      <c r="D6" s="21" t="s">
        <v>227</v>
      </c>
      <c r="E6" s="21" t="s">
        <v>228</v>
      </c>
      <c r="F6" s="22" t="n">
        <v>226.4</v>
      </c>
      <c r="G6" s="22" t="n">
        <v>217.5</v>
      </c>
    </row>
    <row r="7" customFormat="false" ht="15" hidden="false" customHeight="false" outlineLevel="0" collapsed="false">
      <c r="A7" s="20" t="n">
        <v>4</v>
      </c>
      <c r="B7" s="21" t="s">
        <v>59</v>
      </c>
      <c r="C7" s="21" t="s">
        <v>198</v>
      </c>
      <c r="D7" s="21" t="s">
        <v>229</v>
      </c>
      <c r="E7" s="21" t="s">
        <v>226</v>
      </c>
      <c r="F7" s="22" t="n">
        <v>226.3</v>
      </c>
      <c r="G7" s="22" t="n">
        <v>198.9</v>
      </c>
    </row>
    <row r="8" customFormat="false" ht="15" hidden="false" customHeight="false" outlineLevel="0" collapsed="false">
      <c r="A8" s="20" t="n">
        <v>5</v>
      </c>
      <c r="B8" s="21" t="s">
        <v>140</v>
      </c>
      <c r="C8" s="21" t="s">
        <v>178</v>
      </c>
      <c r="D8" s="21" t="s">
        <v>230</v>
      </c>
      <c r="E8" s="21" t="s">
        <v>231</v>
      </c>
      <c r="F8" s="22" t="n">
        <v>220.3</v>
      </c>
      <c r="G8" s="22" t="n">
        <v>179.4</v>
      </c>
    </row>
    <row r="9" customFormat="false" ht="15" hidden="false" customHeight="false" outlineLevel="0" collapsed="false">
      <c r="A9" s="20" t="n">
        <v>6</v>
      </c>
      <c r="B9" s="21" t="s">
        <v>54</v>
      </c>
      <c r="C9" s="21" t="s">
        <v>186</v>
      </c>
      <c r="D9" s="21" t="s">
        <v>232</v>
      </c>
      <c r="E9" s="21" t="s">
        <v>233</v>
      </c>
      <c r="F9" s="22" t="n">
        <v>218.9</v>
      </c>
      <c r="G9" s="22" t="n">
        <v>170.4</v>
      </c>
    </row>
    <row r="10" customFormat="false" ht="15" hidden="false" customHeight="false" outlineLevel="0" collapsed="false">
      <c r="A10" s="20" t="n">
        <v>7</v>
      </c>
      <c r="B10" s="21" t="s">
        <v>59</v>
      </c>
      <c r="C10" s="21" t="s">
        <v>198</v>
      </c>
      <c r="D10" s="21" t="s">
        <v>234</v>
      </c>
      <c r="E10" s="21" t="s">
        <v>226</v>
      </c>
      <c r="F10" s="22" t="n">
        <v>207.1</v>
      </c>
      <c r="G10" s="22" t="n">
        <v>196.8</v>
      </c>
    </row>
    <row r="11" customFormat="false" ht="15" hidden="false" customHeight="false" outlineLevel="0" collapsed="false">
      <c r="A11" s="20" t="n">
        <v>8</v>
      </c>
      <c r="B11" s="21" t="s">
        <v>54</v>
      </c>
      <c r="C11" s="21" t="s">
        <v>187</v>
      </c>
      <c r="D11" s="21" t="s">
        <v>235</v>
      </c>
      <c r="E11" s="21" t="s">
        <v>231</v>
      </c>
      <c r="F11" s="22" t="n">
        <v>206.9</v>
      </c>
      <c r="G11" s="22" t="n">
        <v>150.9</v>
      </c>
    </row>
    <row r="12" customFormat="false" ht="15" hidden="false" customHeight="false" outlineLevel="0" collapsed="false">
      <c r="A12" s="20" t="n">
        <v>9</v>
      </c>
      <c r="B12" s="21" t="s">
        <v>54</v>
      </c>
      <c r="C12" s="21" t="s">
        <v>187</v>
      </c>
      <c r="D12" s="21" t="s">
        <v>236</v>
      </c>
      <c r="E12" s="21" t="s">
        <v>237</v>
      </c>
      <c r="F12" s="22" t="n">
        <v>198.7</v>
      </c>
      <c r="G12" s="22" t="n">
        <v>164.4</v>
      </c>
    </row>
    <row r="13" customFormat="false" ht="15" hidden="false" customHeight="false" outlineLevel="0" collapsed="false">
      <c r="A13" s="20" t="n">
        <v>10</v>
      </c>
      <c r="B13" s="21" t="s">
        <v>54</v>
      </c>
      <c r="C13" s="21" t="s">
        <v>186</v>
      </c>
      <c r="D13" s="21" t="s">
        <v>238</v>
      </c>
      <c r="E13" s="21" t="s">
        <v>233</v>
      </c>
      <c r="F13" s="22" t="n">
        <v>198.6</v>
      </c>
      <c r="G13" s="22" t="n">
        <v>147.6</v>
      </c>
    </row>
    <row r="14" customFormat="false" ht="15" hidden="false" customHeight="false" outlineLevel="0" collapsed="false">
      <c r="A14" s="20" t="n">
        <v>11</v>
      </c>
      <c r="B14" s="21" t="s">
        <v>59</v>
      </c>
      <c r="C14" s="21" t="s">
        <v>198</v>
      </c>
      <c r="D14" s="21" t="s">
        <v>239</v>
      </c>
      <c r="E14" s="21" t="s">
        <v>226</v>
      </c>
      <c r="F14" s="22" t="n">
        <v>197.5</v>
      </c>
      <c r="G14" s="22" t="n">
        <v>177.3</v>
      </c>
    </row>
    <row r="15" customFormat="false" ht="15" hidden="false" customHeight="false" outlineLevel="0" collapsed="false">
      <c r="A15" s="20" t="n">
        <v>12</v>
      </c>
      <c r="B15" s="21" t="s">
        <v>140</v>
      </c>
      <c r="C15" s="21" t="s">
        <v>180</v>
      </c>
      <c r="D15" s="21" t="s">
        <v>240</v>
      </c>
      <c r="E15" s="21" t="s">
        <v>231</v>
      </c>
      <c r="F15" s="22" t="n">
        <v>197.3</v>
      </c>
      <c r="G15" s="22" t="n">
        <v>152.1</v>
      </c>
    </row>
    <row r="16" customFormat="false" ht="15" hidden="false" customHeight="false" outlineLevel="0" collapsed="false">
      <c r="A16" s="20" t="n">
        <v>13</v>
      </c>
      <c r="B16" s="21" t="s">
        <v>59</v>
      </c>
      <c r="C16" s="21" t="s">
        <v>198</v>
      </c>
      <c r="D16" s="21" t="s">
        <v>241</v>
      </c>
      <c r="E16" s="21" t="s">
        <v>226</v>
      </c>
      <c r="F16" s="22" t="n">
        <v>197.3</v>
      </c>
      <c r="G16" s="22" t="n">
        <v>175.5</v>
      </c>
    </row>
    <row r="17" customFormat="false" ht="15" hidden="false" customHeight="false" outlineLevel="0" collapsed="false">
      <c r="A17" s="20" t="n">
        <v>14</v>
      </c>
      <c r="B17" s="21" t="s">
        <v>54</v>
      </c>
      <c r="C17" s="21" t="s">
        <v>186</v>
      </c>
      <c r="D17" s="21" t="s">
        <v>242</v>
      </c>
      <c r="E17" s="21" t="s">
        <v>233</v>
      </c>
      <c r="F17" s="22" t="n">
        <v>195.3</v>
      </c>
      <c r="G17" s="22" t="n">
        <v>147</v>
      </c>
    </row>
    <row r="18" customFormat="false" ht="15" hidden="false" customHeight="false" outlineLevel="0" collapsed="false">
      <c r="A18" s="20" t="n">
        <v>15</v>
      </c>
      <c r="B18" s="21" t="s">
        <v>54</v>
      </c>
      <c r="C18" s="21" t="s">
        <v>187</v>
      </c>
      <c r="D18" s="21" t="s">
        <v>243</v>
      </c>
      <c r="E18" s="21" t="s">
        <v>244</v>
      </c>
      <c r="F18" s="22" t="n">
        <v>193.4</v>
      </c>
      <c r="G18" s="22" t="n">
        <v>147</v>
      </c>
    </row>
    <row r="19" customFormat="false" ht="15" hidden="false" customHeight="false" outlineLevel="0" collapsed="false">
      <c r="A19" s="20" t="n">
        <v>16</v>
      </c>
      <c r="B19" s="21" t="s">
        <v>54</v>
      </c>
      <c r="C19" s="21" t="s">
        <v>187</v>
      </c>
      <c r="D19" s="21" t="s">
        <v>245</v>
      </c>
      <c r="E19" s="21" t="s">
        <v>244</v>
      </c>
      <c r="F19" s="22" t="n">
        <v>188.3</v>
      </c>
      <c r="G19" s="22" t="n">
        <v>142.5</v>
      </c>
    </row>
    <row r="20" customFormat="false" ht="15" hidden="false" customHeight="false" outlineLevel="0" collapsed="false">
      <c r="A20" s="20" t="n">
        <v>17</v>
      </c>
      <c r="B20" s="21" t="s">
        <v>54</v>
      </c>
      <c r="C20" s="21" t="s">
        <v>186</v>
      </c>
      <c r="D20" s="21" t="s">
        <v>246</v>
      </c>
      <c r="E20" s="21" t="s">
        <v>247</v>
      </c>
      <c r="F20" s="22" t="n">
        <v>185.8</v>
      </c>
      <c r="G20" s="22" t="n">
        <v>152.4</v>
      </c>
    </row>
    <row r="21" customFormat="false" ht="15" hidden="false" customHeight="false" outlineLevel="0" collapsed="false">
      <c r="A21" s="20" t="n">
        <v>18</v>
      </c>
      <c r="B21" s="21" t="s">
        <v>54</v>
      </c>
      <c r="C21" s="21" t="s">
        <v>187</v>
      </c>
      <c r="D21" s="21" t="s">
        <v>248</v>
      </c>
      <c r="E21" s="21" t="s">
        <v>231</v>
      </c>
      <c r="F21" s="22" t="n">
        <v>185.2</v>
      </c>
      <c r="G21" s="22" t="n">
        <v>145.2</v>
      </c>
    </row>
    <row r="22" customFormat="false" ht="15" hidden="false" customHeight="false" outlineLevel="0" collapsed="false">
      <c r="A22" s="20" t="n">
        <v>19</v>
      </c>
      <c r="B22" s="21" t="s">
        <v>63</v>
      </c>
      <c r="C22" s="21" t="s">
        <v>215</v>
      </c>
      <c r="D22" s="21" t="s">
        <v>249</v>
      </c>
      <c r="E22" s="21" t="s">
        <v>237</v>
      </c>
      <c r="F22" s="22" t="n">
        <v>184.4</v>
      </c>
      <c r="G22" s="22" t="n">
        <v>140.7</v>
      </c>
    </row>
    <row r="23" customFormat="false" ht="15" hidden="false" customHeight="false" outlineLevel="0" collapsed="false">
      <c r="A23" s="20" t="n">
        <v>20</v>
      </c>
      <c r="B23" s="21" t="s">
        <v>140</v>
      </c>
      <c r="C23" s="21" t="s">
        <v>178</v>
      </c>
      <c r="D23" s="21" t="s">
        <v>250</v>
      </c>
      <c r="E23" s="21" t="s">
        <v>231</v>
      </c>
      <c r="F23" s="22" t="n">
        <v>184.1</v>
      </c>
      <c r="G23" s="22" t="n">
        <v>149.7</v>
      </c>
    </row>
    <row r="24" customFormat="false" ht="15" hidden="false" customHeight="false" outlineLevel="0" collapsed="false">
      <c r="A24" s="20" t="n">
        <v>21</v>
      </c>
      <c r="B24" s="21" t="s">
        <v>54</v>
      </c>
      <c r="C24" s="21" t="s">
        <v>187</v>
      </c>
      <c r="D24" s="21" t="s">
        <v>251</v>
      </c>
      <c r="E24" s="21" t="s">
        <v>231</v>
      </c>
      <c r="F24" s="22" t="n">
        <v>182</v>
      </c>
      <c r="G24" s="22" t="n">
        <v>133.8</v>
      </c>
    </row>
    <row r="25" customFormat="false" ht="15" hidden="false" customHeight="false" outlineLevel="0" collapsed="false">
      <c r="A25" s="20" t="n">
        <v>22</v>
      </c>
      <c r="B25" s="21" t="s">
        <v>54</v>
      </c>
      <c r="C25" s="21" t="s">
        <v>186</v>
      </c>
      <c r="D25" s="21" t="s">
        <v>252</v>
      </c>
      <c r="E25" s="21" t="s">
        <v>247</v>
      </c>
      <c r="F25" s="22" t="n">
        <v>180</v>
      </c>
      <c r="G25" s="22" t="n">
        <v>148.2</v>
      </c>
    </row>
    <row r="26" customFormat="false" ht="15" hidden="false" customHeight="false" outlineLevel="0" collapsed="false">
      <c r="A26" s="20" t="n">
        <v>23</v>
      </c>
      <c r="B26" s="21" t="s">
        <v>54</v>
      </c>
      <c r="C26" s="21" t="s">
        <v>187</v>
      </c>
      <c r="D26" s="21" t="s">
        <v>253</v>
      </c>
      <c r="E26" s="21" t="s">
        <v>231</v>
      </c>
      <c r="F26" s="22" t="n">
        <v>179.4</v>
      </c>
      <c r="G26" s="22" t="n">
        <v>126.9</v>
      </c>
    </row>
    <row r="27" customFormat="false" ht="15" hidden="false" customHeight="false" outlineLevel="0" collapsed="false">
      <c r="A27" s="20" t="n">
        <v>24</v>
      </c>
      <c r="B27" s="21" t="s">
        <v>54</v>
      </c>
      <c r="C27" s="21" t="s">
        <v>188</v>
      </c>
      <c r="D27" s="21" t="s">
        <v>254</v>
      </c>
      <c r="E27" s="21" t="s">
        <v>237</v>
      </c>
      <c r="F27" s="22" t="n">
        <v>178.7</v>
      </c>
      <c r="G27" s="22" t="n">
        <v>152.7</v>
      </c>
    </row>
    <row r="28" customFormat="false" ht="15" hidden="false" customHeight="false" outlineLevel="0" collapsed="false">
      <c r="A28" s="20" t="n">
        <v>25</v>
      </c>
      <c r="B28" s="21" t="s">
        <v>54</v>
      </c>
      <c r="C28" s="21" t="s">
        <v>186</v>
      </c>
      <c r="D28" s="21" t="s">
        <v>255</v>
      </c>
      <c r="E28" s="21" t="s">
        <v>233</v>
      </c>
      <c r="F28" s="22" t="n">
        <v>178.5</v>
      </c>
      <c r="G28" s="22" t="n">
        <v>142.5</v>
      </c>
    </row>
    <row r="29" customFormat="false" ht="15" hidden="false" customHeight="false" outlineLevel="0" collapsed="false">
      <c r="A29" s="20" t="n">
        <v>26</v>
      </c>
      <c r="B29" s="21" t="s">
        <v>54</v>
      </c>
      <c r="C29" s="21" t="s">
        <v>187</v>
      </c>
      <c r="D29" s="21" t="s">
        <v>256</v>
      </c>
      <c r="E29" s="21" t="s">
        <v>231</v>
      </c>
      <c r="F29" s="22" t="n">
        <v>178.2</v>
      </c>
      <c r="G29" s="22" t="n">
        <v>140.7</v>
      </c>
    </row>
    <row r="30" customFormat="false" ht="15" hidden="false" customHeight="false" outlineLevel="0" collapsed="false">
      <c r="A30" s="20" t="n">
        <v>27</v>
      </c>
      <c r="B30" s="21" t="s">
        <v>54</v>
      </c>
      <c r="C30" s="21" t="s">
        <v>189</v>
      </c>
      <c r="D30" s="21" t="s">
        <v>257</v>
      </c>
      <c r="E30" s="21" t="s">
        <v>258</v>
      </c>
      <c r="F30" s="22" t="n">
        <v>178.1</v>
      </c>
      <c r="G30" s="22" t="n">
        <v>132</v>
      </c>
    </row>
    <row r="31" customFormat="false" ht="15" hidden="false" customHeight="false" outlineLevel="0" collapsed="false">
      <c r="A31" s="20" t="n">
        <v>28</v>
      </c>
      <c r="B31" s="21" t="s">
        <v>63</v>
      </c>
      <c r="C31" s="21" t="s">
        <v>215</v>
      </c>
      <c r="D31" s="21" t="s">
        <v>259</v>
      </c>
      <c r="E31" s="21" t="s">
        <v>258</v>
      </c>
      <c r="F31" s="22" t="n">
        <v>176.4</v>
      </c>
      <c r="G31" s="22" t="n">
        <v>134.4</v>
      </c>
    </row>
    <row r="32" customFormat="false" ht="15" hidden="false" customHeight="false" outlineLevel="0" collapsed="false">
      <c r="A32" s="20" t="n">
        <v>29</v>
      </c>
      <c r="B32" s="21" t="s">
        <v>140</v>
      </c>
      <c r="C32" s="21" t="s">
        <v>178</v>
      </c>
      <c r="D32" s="21" t="s">
        <v>260</v>
      </c>
      <c r="E32" s="21" t="s">
        <v>231</v>
      </c>
      <c r="F32" s="22" t="n">
        <v>175.5</v>
      </c>
      <c r="G32" s="22" t="n">
        <v>134.7</v>
      </c>
    </row>
    <row r="33" customFormat="false" ht="15" hidden="false" customHeight="false" outlineLevel="0" collapsed="false">
      <c r="A33" s="20" t="n">
        <v>30</v>
      </c>
      <c r="B33" s="21" t="s">
        <v>140</v>
      </c>
      <c r="C33" s="21" t="s">
        <v>178</v>
      </c>
      <c r="D33" s="21" t="s">
        <v>261</v>
      </c>
      <c r="E33" s="21" t="s">
        <v>231</v>
      </c>
      <c r="F33" s="22" t="n">
        <v>175.3</v>
      </c>
      <c r="G33" s="22" t="n">
        <v>144.6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55"/>
    <col collapsed="false" customWidth="true" hidden="false" outlineLevel="0" max="5" min="5" style="0" width="40"/>
  </cols>
  <sheetData>
    <row r="1" customFormat="false" ht="27.75" hidden="false" customHeight="true" outlineLevel="0" collapsed="false">
      <c r="A1" s="1" t="s">
        <v>262</v>
      </c>
      <c r="B1" s="1"/>
      <c r="C1" s="1"/>
      <c r="D1" s="1"/>
      <c r="E1" s="1"/>
    </row>
    <row r="3" customFormat="false" ht="31.5" hidden="false" customHeight="true" outlineLevel="0" collapsed="false">
      <c r="A3" s="6" t="s">
        <v>130</v>
      </c>
      <c r="B3" s="6" t="s">
        <v>131</v>
      </c>
      <c r="C3" s="6" t="s">
        <v>263</v>
      </c>
      <c r="D3" s="6" t="s">
        <v>264</v>
      </c>
      <c r="E3" s="6" t="s">
        <v>265</v>
      </c>
    </row>
    <row r="4" customFormat="false" ht="79.5" hidden="false" customHeight="true" outlineLevel="0" collapsed="false">
      <c r="A4" s="48" t="s">
        <v>54</v>
      </c>
      <c r="B4" s="49" t="n">
        <v>14683.8</v>
      </c>
      <c r="C4" s="50" t="s">
        <v>266</v>
      </c>
      <c r="D4" s="51" t="s">
        <v>267</v>
      </c>
      <c r="E4" s="52" t="s">
        <v>268</v>
      </c>
    </row>
    <row r="5" customFormat="false" ht="79.5" hidden="false" customHeight="true" outlineLevel="0" collapsed="false">
      <c r="A5" s="48" t="s">
        <v>52</v>
      </c>
      <c r="B5" s="49" t="n">
        <v>10385.9</v>
      </c>
      <c r="C5" s="50" t="s">
        <v>269</v>
      </c>
      <c r="D5" s="51" t="s">
        <v>270</v>
      </c>
      <c r="E5" s="52" t="s">
        <v>268</v>
      </c>
    </row>
    <row r="6" customFormat="false" ht="79.5" hidden="false" customHeight="true" outlineLevel="0" collapsed="false">
      <c r="A6" s="48" t="s">
        <v>140</v>
      </c>
      <c r="B6" s="49" t="n">
        <v>8011.8</v>
      </c>
      <c r="C6" s="50" t="s">
        <v>271</v>
      </c>
      <c r="D6" s="51" t="s">
        <v>272</v>
      </c>
      <c r="E6" s="52" t="s">
        <v>268</v>
      </c>
    </row>
    <row r="7" customFormat="false" ht="79.5" hidden="false" customHeight="true" outlineLevel="0" collapsed="false">
      <c r="A7" s="48" t="s">
        <v>59</v>
      </c>
      <c r="B7" s="49" t="n">
        <v>6253.5</v>
      </c>
      <c r="C7" s="50" t="s">
        <v>269</v>
      </c>
      <c r="D7" s="51" t="s">
        <v>273</v>
      </c>
      <c r="E7" s="52" t="s">
        <v>268</v>
      </c>
    </row>
    <row r="8" customFormat="false" ht="79.5" hidden="false" customHeight="true" outlineLevel="0" collapsed="false">
      <c r="A8" s="48" t="s">
        <v>61</v>
      </c>
      <c r="B8" s="49" t="n">
        <v>4622.4</v>
      </c>
      <c r="C8" s="50" t="s">
        <v>274</v>
      </c>
      <c r="D8" s="51" t="s">
        <v>275</v>
      </c>
      <c r="E8" s="52" t="s">
        <v>268</v>
      </c>
    </row>
    <row r="9" customFormat="false" ht="79.5" hidden="false" customHeight="true" outlineLevel="0" collapsed="false">
      <c r="A9" s="48" t="s">
        <v>141</v>
      </c>
      <c r="B9" s="49" t="n">
        <v>3277.5</v>
      </c>
      <c r="C9" s="50" t="s">
        <v>276</v>
      </c>
      <c r="D9" s="51" t="s">
        <v>277</v>
      </c>
      <c r="E9" s="53" t="s">
        <v>278</v>
      </c>
    </row>
    <row r="10" customFormat="false" ht="79.5" hidden="false" customHeight="true" outlineLevel="0" collapsed="false">
      <c r="A10" s="48" t="s">
        <v>56</v>
      </c>
      <c r="B10" s="49" t="n">
        <v>3125.9</v>
      </c>
      <c r="C10" s="50" t="s">
        <v>279</v>
      </c>
      <c r="D10" s="51" t="s">
        <v>280</v>
      </c>
      <c r="E10" s="52" t="s">
        <v>268</v>
      </c>
    </row>
    <row r="11" customFormat="false" ht="79.5" hidden="false" customHeight="true" outlineLevel="0" collapsed="false">
      <c r="A11" s="48" t="s">
        <v>63</v>
      </c>
      <c r="B11" s="49" t="n">
        <v>2420.6</v>
      </c>
      <c r="C11" s="50" t="s">
        <v>269</v>
      </c>
      <c r="D11" s="51" t="s">
        <v>281</v>
      </c>
      <c r="E11" s="52" t="s">
        <v>268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5" min="3" style="0" width="16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282</v>
      </c>
      <c r="B1" s="1"/>
      <c r="C1" s="1"/>
      <c r="D1" s="1"/>
      <c r="E1" s="1"/>
      <c r="F1" s="1"/>
    </row>
    <row r="3" customFormat="false" ht="31.5" hidden="false" customHeight="true" outlineLevel="0" collapsed="false">
      <c r="A3" s="6" t="s">
        <v>221</v>
      </c>
      <c r="B3" s="6" t="s">
        <v>133</v>
      </c>
      <c r="C3" s="6" t="s">
        <v>131</v>
      </c>
      <c r="D3" s="6" t="s">
        <v>134</v>
      </c>
      <c r="E3" s="6" t="s">
        <v>160</v>
      </c>
      <c r="F3" s="6" t="s">
        <v>159</v>
      </c>
    </row>
    <row r="4" customFormat="false" ht="15" hidden="false" customHeight="false" outlineLevel="0" collapsed="false">
      <c r="A4" s="21" t="s">
        <v>283</v>
      </c>
      <c r="B4" s="20" t="n">
        <v>162</v>
      </c>
      <c r="C4" s="22" t="n">
        <v>9514.9</v>
      </c>
      <c r="D4" s="22" t="n">
        <v>58.73</v>
      </c>
      <c r="E4" s="46" t="n">
        <v>0.913</v>
      </c>
      <c r="F4" s="46" t="n">
        <v>0.123</v>
      </c>
    </row>
    <row r="5" customFormat="false" ht="15" hidden="false" customHeight="false" outlineLevel="0" collapsed="false">
      <c r="A5" s="21" t="s">
        <v>284</v>
      </c>
      <c r="B5" s="20" t="n">
        <v>101</v>
      </c>
      <c r="C5" s="22" t="n">
        <v>9390.6</v>
      </c>
      <c r="D5" s="22" t="n">
        <v>92.98</v>
      </c>
      <c r="E5" s="46" t="n">
        <v>0.904</v>
      </c>
      <c r="F5" s="46" t="n">
        <v>0.159</v>
      </c>
    </row>
    <row r="6" customFormat="false" ht="15" hidden="false" customHeight="false" outlineLevel="0" collapsed="false">
      <c r="A6" s="21" t="s">
        <v>285</v>
      </c>
      <c r="B6" s="20" t="n">
        <v>124</v>
      </c>
      <c r="C6" s="22" t="n">
        <v>8714.8</v>
      </c>
      <c r="D6" s="22" t="n">
        <v>70.28</v>
      </c>
      <c r="E6" s="46" t="n">
        <v>0.886</v>
      </c>
      <c r="F6" s="46" t="n">
        <v>0.134</v>
      </c>
    </row>
    <row r="7" customFormat="false" ht="15" hidden="false" customHeight="false" outlineLevel="0" collapsed="false">
      <c r="A7" s="21" t="s">
        <v>286</v>
      </c>
      <c r="B7" s="20" t="n">
        <v>69</v>
      </c>
      <c r="C7" s="22" t="n">
        <v>3508</v>
      </c>
      <c r="D7" s="22" t="n">
        <v>50.84</v>
      </c>
      <c r="E7" s="46" t="n">
        <v>0.891</v>
      </c>
      <c r="F7" s="46" t="n">
        <v>0.115</v>
      </c>
    </row>
    <row r="8" customFormat="false" ht="15" hidden="false" customHeight="false" outlineLevel="0" collapsed="false">
      <c r="A8" s="21" t="s">
        <v>287</v>
      </c>
      <c r="B8" s="20" t="n">
        <v>32</v>
      </c>
      <c r="C8" s="22" t="n">
        <v>3272.7</v>
      </c>
      <c r="D8" s="22" t="n">
        <v>102.27</v>
      </c>
      <c r="E8" s="46" t="n">
        <v>0.945</v>
      </c>
      <c r="F8" s="46" t="n">
        <v>0.132</v>
      </c>
    </row>
    <row r="9" customFormat="false" ht="15" hidden="false" customHeight="false" outlineLevel="0" collapsed="false">
      <c r="A9" s="21" t="s">
        <v>288</v>
      </c>
      <c r="B9" s="20" t="n">
        <v>48</v>
      </c>
      <c r="C9" s="22" t="n">
        <v>2888.4</v>
      </c>
      <c r="D9" s="22" t="n">
        <v>60.18</v>
      </c>
      <c r="E9" s="46" t="n">
        <v>0.891</v>
      </c>
      <c r="F9" s="46" t="n">
        <v>0.078</v>
      </c>
    </row>
    <row r="10" customFormat="false" ht="15" hidden="false" customHeight="false" outlineLevel="0" collapsed="false">
      <c r="A10" s="21" t="s">
        <v>289</v>
      </c>
      <c r="B10" s="20" t="n">
        <v>40</v>
      </c>
      <c r="C10" s="22" t="n">
        <v>2691.5</v>
      </c>
      <c r="D10" s="22" t="n">
        <v>67.29</v>
      </c>
      <c r="E10" s="46" t="n">
        <v>0.93</v>
      </c>
      <c r="F10" s="46" t="n">
        <v>0.135</v>
      </c>
    </row>
    <row r="11" customFormat="false" ht="15" hidden="false" customHeight="false" outlineLevel="0" collapsed="false">
      <c r="A11" s="21" t="s">
        <v>290</v>
      </c>
      <c r="B11" s="20" t="n">
        <v>44</v>
      </c>
      <c r="C11" s="22" t="n">
        <v>2572.5</v>
      </c>
      <c r="D11" s="22" t="n">
        <v>58.47</v>
      </c>
      <c r="E11" s="46" t="n">
        <v>0.893</v>
      </c>
      <c r="F11" s="46" t="n">
        <v>0.114</v>
      </c>
    </row>
    <row r="12" customFormat="false" ht="15" hidden="false" customHeight="false" outlineLevel="0" collapsed="false">
      <c r="A12" s="21" t="s">
        <v>291</v>
      </c>
      <c r="B12" s="20" t="n">
        <v>41</v>
      </c>
      <c r="C12" s="22" t="n">
        <v>1804.4</v>
      </c>
      <c r="D12" s="22" t="n">
        <v>44.01</v>
      </c>
      <c r="E12" s="46" t="n">
        <v>0.859</v>
      </c>
      <c r="F12" s="46" t="n">
        <v>0.103</v>
      </c>
    </row>
    <row r="13" customFormat="false" ht="15" hidden="false" customHeight="false" outlineLevel="0" collapsed="false">
      <c r="A13" s="21" t="s">
        <v>292</v>
      </c>
      <c r="B13" s="20" t="n">
        <v>31</v>
      </c>
      <c r="C13" s="22" t="n">
        <v>1641.4</v>
      </c>
      <c r="D13" s="22" t="n">
        <v>52.95</v>
      </c>
      <c r="E13" s="46" t="n">
        <v>0.9</v>
      </c>
      <c r="F13" s="46" t="n">
        <v>0.085</v>
      </c>
    </row>
    <row r="14" customFormat="false" ht="15" hidden="false" customHeight="false" outlineLevel="0" collapsed="false">
      <c r="A14" s="21" t="s">
        <v>293</v>
      </c>
      <c r="B14" s="20" t="n">
        <v>19</v>
      </c>
      <c r="C14" s="22" t="n">
        <v>1575.2</v>
      </c>
      <c r="D14" s="22" t="n">
        <v>82.91</v>
      </c>
      <c r="E14" s="46" t="n">
        <v>0.884</v>
      </c>
      <c r="F14" s="46" t="n">
        <v>0.129</v>
      </c>
    </row>
    <row r="15" customFormat="false" ht="15" hidden="false" customHeight="false" outlineLevel="0" collapsed="false">
      <c r="A15" s="21" t="s">
        <v>294</v>
      </c>
      <c r="B15" s="20" t="n">
        <v>19</v>
      </c>
      <c r="C15" s="22" t="n">
        <v>942.8</v>
      </c>
      <c r="D15" s="22" t="n">
        <v>49.62</v>
      </c>
      <c r="E15" s="46" t="n">
        <v>0.914</v>
      </c>
      <c r="F15" s="46" t="n">
        <v>0.155</v>
      </c>
    </row>
    <row r="16" customFormat="false" ht="15" hidden="false" customHeight="false" outlineLevel="0" collapsed="false">
      <c r="A16" s="21" t="s">
        <v>295</v>
      </c>
      <c r="B16" s="20" t="n">
        <v>23</v>
      </c>
      <c r="C16" s="22" t="n">
        <v>739.2</v>
      </c>
      <c r="D16" s="22" t="n">
        <v>32.14</v>
      </c>
      <c r="E16" s="46" t="n">
        <v>0</v>
      </c>
      <c r="F16" s="46" t="n">
        <v>0.021</v>
      </c>
    </row>
    <row r="17" customFormat="false" ht="15" hidden="false" customHeight="false" outlineLevel="0" collapsed="false">
      <c r="A17" s="21" t="s">
        <v>296</v>
      </c>
      <c r="B17" s="20" t="n">
        <v>9</v>
      </c>
      <c r="C17" s="22" t="n">
        <v>655.2</v>
      </c>
      <c r="D17" s="22" t="n">
        <v>72.8</v>
      </c>
      <c r="E17" s="46" t="n">
        <v>0.949</v>
      </c>
      <c r="F17" s="46" t="n">
        <v>0.185</v>
      </c>
    </row>
    <row r="18" customFormat="false" ht="15" hidden="false" customHeight="false" outlineLevel="0" collapsed="false">
      <c r="A18" s="21" t="s">
        <v>297</v>
      </c>
      <c r="B18" s="20" t="n">
        <v>8</v>
      </c>
      <c r="C18" s="22" t="n">
        <v>645.1</v>
      </c>
      <c r="D18" s="22" t="n">
        <v>80.64</v>
      </c>
      <c r="E18" s="46" t="n">
        <v>0.866</v>
      </c>
      <c r="F18" s="46" t="n">
        <v>0.12</v>
      </c>
    </row>
    <row r="19" customFormat="false" ht="15" hidden="false" customHeight="false" outlineLevel="0" collapsed="false">
      <c r="A19" s="21" t="s">
        <v>298</v>
      </c>
      <c r="B19" s="20" t="n">
        <v>5</v>
      </c>
      <c r="C19" s="22" t="n">
        <v>615.2</v>
      </c>
      <c r="D19" s="22" t="n">
        <v>123.04</v>
      </c>
      <c r="E19" s="46" t="n">
        <v>0.812</v>
      </c>
      <c r="F19" s="46" t="n">
        <v>0.132</v>
      </c>
    </row>
    <row r="20" customFormat="false" ht="15" hidden="false" customHeight="false" outlineLevel="0" collapsed="false">
      <c r="A20" s="21" t="s">
        <v>299</v>
      </c>
      <c r="B20" s="20" t="n">
        <v>15</v>
      </c>
      <c r="C20" s="22" t="n">
        <v>586.4</v>
      </c>
      <c r="D20" s="22" t="n">
        <v>39.09</v>
      </c>
      <c r="E20" s="46" t="n">
        <v>0.609</v>
      </c>
      <c r="F20" s="46" t="n">
        <v>0.039</v>
      </c>
    </row>
    <row r="21" customFormat="false" ht="15" hidden="false" customHeight="false" outlineLevel="0" collapsed="false">
      <c r="A21" s="21" t="s">
        <v>300</v>
      </c>
      <c r="B21" s="20" t="n">
        <v>6</v>
      </c>
      <c r="C21" s="22" t="n">
        <v>572.9</v>
      </c>
      <c r="D21" s="22" t="n">
        <v>95.48</v>
      </c>
      <c r="E21" s="46" t="n">
        <v>0.865</v>
      </c>
      <c r="F21" s="46" t="n">
        <v>0.131</v>
      </c>
    </row>
    <row r="22" customFormat="false" ht="15" hidden="false" customHeight="false" outlineLevel="0" collapsed="false">
      <c r="A22" s="21" t="s">
        <v>301</v>
      </c>
      <c r="B22" s="20" t="n">
        <v>5</v>
      </c>
      <c r="C22" s="22" t="n">
        <v>301.9</v>
      </c>
      <c r="D22" s="22" t="n">
        <v>60.38</v>
      </c>
      <c r="E22" s="46" t="n">
        <v>0.827</v>
      </c>
      <c r="F22" s="46" t="n">
        <v>0.136</v>
      </c>
    </row>
    <row r="23" customFormat="false" ht="15" hidden="false" customHeight="false" outlineLevel="0" collapsed="false">
      <c r="A23" s="21" t="s">
        <v>302</v>
      </c>
      <c r="B23" s="20" t="n">
        <v>1</v>
      </c>
      <c r="C23" s="22" t="n">
        <v>70.2</v>
      </c>
      <c r="D23" s="22" t="n">
        <v>70.2</v>
      </c>
      <c r="E23" s="46" t="n">
        <v>0.852</v>
      </c>
      <c r="F23" s="46" t="n">
        <v>0.183</v>
      </c>
    </row>
    <row r="24" customFormat="false" ht="15" hidden="false" customHeight="false" outlineLevel="0" collapsed="false">
      <c r="A24" s="21" t="s">
        <v>303</v>
      </c>
      <c r="B24" s="20" t="n">
        <v>1</v>
      </c>
      <c r="C24" s="22" t="n">
        <v>43</v>
      </c>
      <c r="D24" s="22" t="n">
        <v>43</v>
      </c>
      <c r="E24" s="46" t="n">
        <v>0.75</v>
      </c>
      <c r="F24" s="46" t="n">
        <v>0.025</v>
      </c>
    </row>
    <row r="25" customFormat="false" ht="15" hidden="false" customHeight="false" outlineLevel="0" collapsed="false">
      <c r="A25" s="21" t="s">
        <v>304</v>
      </c>
      <c r="B25" s="20" t="n">
        <v>1</v>
      </c>
      <c r="C25" s="22" t="n">
        <v>35.1</v>
      </c>
      <c r="D25" s="22" t="n">
        <v>35.1</v>
      </c>
      <c r="E25" s="46" t="n">
        <v>0.812</v>
      </c>
      <c r="F25" s="46" t="n">
        <v>0.058</v>
      </c>
    </row>
    <row r="26" customFormat="false" ht="15" hidden="false" customHeight="false" outlineLevel="0" collapsed="false">
      <c r="A26" s="21" t="s">
        <v>305</v>
      </c>
      <c r="B26" s="20" t="n">
        <v>5</v>
      </c>
      <c r="C26" s="22" t="n">
        <v>0</v>
      </c>
      <c r="D26" s="22" t="n">
        <v>0</v>
      </c>
      <c r="E26" s="46" t="n">
        <v>0</v>
      </c>
      <c r="F26" s="46" t="n">
        <v>0.5</v>
      </c>
    </row>
    <row r="27" customFormat="false" ht="15" hidden="false" customHeight="false" outlineLevel="0" collapsed="false">
      <c r="A27" s="21" t="s">
        <v>306</v>
      </c>
      <c r="B27" s="20" t="n">
        <v>1</v>
      </c>
      <c r="C27" s="22" t="n">
        <v>0</v>
      </c>
      <c r="D27" s="22" t="n">
        <v>0</v>
      </c>
      <c r="E27" s="46" t="n">
        <v>0</v>
      </c>
      <c r="F27" s="46" t="n">
        <v>0</v>
      </c>
    </row>
  </sheetData>
  <mergeCells count="1">
    <mergeCell ref="A1:F1"/>
  </mergeCells>
  <conditionalFormatting sqref="D4:D2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2026-05-25T08:25:41Z</dcterms:created>
  <dc:creator>openpyxl</dc:creator>
  <dc:description/>
  <dc:language>en-US</dc:language>
  <cp:lastModifiedBy/>
  <dcterms:modified xsi:type="dcterms:W3CDTF">2026-05-25T08:25:41Z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